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4a7c6876f84e3/Desktop/MSc/STATS/"/>
    </mc:Choice>
  </mc:AlternateContent>
  <xr:revisionPtr revIDLastSave="0" documentId="8_{1287BDCF-8A33-4395-8733-4327E110CE80}" xr6:coauthVersionLast="47" xr6:coauthVersionMax="47" xr10:uidLastSave="{00000000-0000-0000-0000-000000000000}"/>
  <bookViews>
    <workbookView xWindow="-108" yWindow="-108" windowWidth="23256" windowHeight="12456" xr2:uid="{18832836-61CF-4D2D-973D-37E2E4677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K16" i="1"/>
  <c r="N6" i="1"/>
  <c r="N7" i="1"/>
  <c r="N8" i="1" s="1"/>
  <c r="N9" i="1" s="1"/>
  <c r="N10" i="1" s="1"/>
  <c r="N11" i="1" s="1"/>
  <c r="K11" i="1"/>
  <c r="M11" i="1"/>
  <c r="M7" i="1"/>
  <c r="M8" i="1"/>
  <c r="M9" i="1"/>
  <c r="M10" i="1"/>
  <c r="M6" i="1"/>
  <c r="L11" i="1"/>
  <c r="C18" i="1" a="1"/>
  <c r="C18" i="1" s="1"/>
  <c r="C19" i="1"/>
  <c r="C17" i="1"/>
  <c r="C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<sst xmlns="http://schemas.openxmlformats.org/spreadsheetml/2006/main" count="28" uniqueCount="26">
  <si>
    <t>Measures of Central Tendency</t>
  </si>
  <si>
    <t>Mean</t>
  </si>
  <si>
    <t>Mdian</t>
  </si>
  <si>
    <t>Mode</t>
  </si>
  <si>
    <t>_ - single</t>
  </si>
  <si>
    <t>_- multi….. Use for large data</t>
  </si>
  <si>
    <t>UnGrouped data</t>
  </si>
  <si>
    <t>Grouped Data</t>
  </si>
  <si>
    <t>class</t>
  </si>
  <si>
    <t>f</t>
  </si>
  <si>
    <t>x</t>
  </si>
  <si>
    <t>fx</t>
  </si>
  <si>
    <t>0-10</t>
  </si>
  <si>
    <t>10 - 20</t>
  </si>
  <si>
    <t>20 -30</t>
  </si>
  <si>
    <t>30 - 40</t>
  </si>
  <si>
    <t>40 -50</t>
  </si>
  <si>
    <t>cf</t>
  </si>
  <si>
    <t>Total</t>
  </si>
  <si>
    <t>Median</t>
  </si>
  <si>
    <t>L =</t>
  </si>
  <si>
    <t>f0 =</t>
  </si>
  <si>
    <t>f1 =</t>
  </si>
  <si>
    <t>f2 =</t>
  </si>
  <si>
    <t>n =</t>
  </si>
  <si>
    <t xml:space="preserve">d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</si>
</sst>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4" xfId="0" applyNumberFormat="1" applyBorder="1"/>
    <xf numFmtId="0" fontId="1" fillId="0" borderId="4" xfId="0" applyFont="1" applyBorder="1"/>
    <xf numFmtId="0" fontId="1" fillId="0" borderId="0" xfId="0" applyFont="1" applyBorder="1"/>
    <xf numFmtId="0" fontId="2" fillId="0" borderId="6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A7B9-D0AB-4C8F-B46C-5E12679DB20B}">
  <dimension ref="A1:P20"/>
  <sheetViews>
    <sheetView tabSelected="1" workbookViewId="0">
      <selection activeCell="H6" sqref="H6"/>
    </sheetView>
  </sheetViews>
  <sheetFormatPr defaultRowHeight="14.4" x14ac:dyDescent="0.3"/>
  <sheetData>
    <row r="1" spans="1:16" x14ac:dyDescent="0.3">
      <c r="A1" t="s">
        <v>0</v>
      </c>
    </row>
    <row r="4" spans="1:16" x14ac:dyDescent="0.3">
      <c r="A4" s="1" t="s">
        <v>6</v>
      </c>
      <c r="B4" s="2"/>
      <c r="C4" s="2"/>
      <c r="D4" s="2"/>
      <c r="E4" s="2"/>
      <c r="F4" s="2"/>
      <c r="G4" s="3"/>
      <c r="I4" s="1" t="s">
        <v>7</v>
      </c>
      <c r="J4" s="2"/>
      <c r="K4" s="2"/>
      <c r="L4" s="2"/>
      <c r="M4" s="2"/>
      <c r="N4" s="2"/>
      <c r="O4" s="2"/>
      <c r="P4" s="3"/>
    </row>
    <row r="5" spans="1:16" x14ac:dyDescent="0.3">
      <c r="A5" s="4"/>
      <c r="B5" s="5"/>
      <c r="C5" s="19">
        <v>15</v>
      </c>
      <c r="D5" s="5"/>
      <c r="E5" s="5"/>
      <c r="F5" s="5"/>
      <c r="G5" s="6"/>
      <c r="I5" s="4"/>
      <c r="J5" s="1" t="s">
        <v>8</v>
      </c>
      <c r="K5" s="2" t="s">
        <v>9</v>
      </c>
      <c r="L5" s="2" t="s">
        <v>10</v>
      </c>
      <c r="M5" s="2" t="s">
        <v>11</v>
      </c>
      <c r="N5" s="3" t="s">
        <v>17</v>
      </c>
      <c r="O5" s="5"/>
      <c r="P5" s="6"/>
    </row>
    <row r="6" spans="1:16" x14ac:dyDescent="0.3">
      <c r="A6" s="4"/>
      <c r="B6" s="5"/>
      <c r="C6" s="20">
        <v>20</v>
      </c>
      <c r="D6" s="5"/>
      <c r="E6" s="5"/>
      <c r="F6" s="5"/>
      <c r="G6" s="6"/>
      <c r="I6" s="4"/>
      <c r="J6" s="4" t="s">
        <v>12</v>
      </c>
      <c r="K6" s="5">
        <v>4</v>
      </c>
      <c r="L6" s="5">
        <v>5</v>
      </c>
      <c r="M6" s="5">
        <f>PRODUCT(K6,L6)</f>
        <v>20</v>
      </c>
      <c r="N6" s="6">
        <f>K6</f>
        <v>4</v>
      </c>
      <c r="O6" s="1" t="s">
        <v>20</v>
      </c>
      <c r="P6" s="3">
        <v>30</v>
      </c>
    </row>
    <row r="7" spans="1:16" x14ac:dyDescent="0.3">
      <c r="A7" s="4"/>
      <c r="B7" s="5"/>
      <c r="C7" s="20">
        <v>18</v>
      </c>
      <c r="D7" s="5"/>
      <c r="E7" s="5"/>
      <c r="F7" s="5"/>
      <c r="G7" s="6"/>
      <c r="I7" s="4"/>
      <c r="J7" s="10" t="s">
        <v>13</v>
      </c>
      <c r="K7" s="5">
        <v>8</v>
      </c>
      <c r="L7" s="5">
        <v>15</v>
      </c>
      <c r="M7" s="5">
        <f t="shared" ref="M7:M10" si="0">PRODUCT(K7,L7)</f>
        <v>120</v>
      </c>
      <c r="N7" s="6">
        <f>N6+K7</f>
        <v>12</v>
      </c>
      <c r="O7" s="4" t="s">
        <v>21</v>
      </c>
      <c r="P7" s="6">
        <v>12</v>
      </c>
    </row>
    <row r="8" spans="1:16" x14ac:dyDescent="0.3">
      <c r="A8" s="4"/>
      <c r="B8" s="5"/>
      <c r="C8" s="20">
        <v>22</v>
      </c>
      <c r="D8" s="5"/>
      <c r="E8" s="5"/>
      <c r="F8" s="5"/>
      <c r="G8" s="6"/>
      <c r="I8" s="4"/>
      <c r="J8" s="4" t="s">
        <v>14</v>
      </c>
      <c r="K8" s="5">
        <v>12</v>
      </c>
      <c r="L8" s="5">
        <v>25</v>
      </c>
      <c r="M8" s="5">
        <f t="shared" si="0"/>
        <v>300</v>
      </c>
      <c r="N8" s="6">
        <f t="shared" ref="N8:N11" si="1">N7+K8</f>
        <v>24</v>
      </c>
      <c r="O8" s="4" t="s">
        <v>22</v>
      </c>
      <c r="P8" s="6">
        <v>15</v>
      </c>
    </row>
    <row r="9" spans="1:16" x14ac:dyDescent="0.3">
      <c r="A9" s="4"/>
      <c r="B9" s="5"/>
      <c r="C9" s="20">
        <v>20</v>
      </c>
      <c r="D9" s="5"/>
      <c r="E9" s="5"/>
      <c r="F9" s="5"/>
      <c r="G9" s="6"/>
      <c r="I9" s="4"/>
      <c r="J9" s="11" t="s">
        <v>15</v>
      </c>
      <c r="K9" s="12">
        <v>15</v>
      </c>
      <c r="L9" s="12">
        <v>35</v>
      </c>
      <c r="M9" s="12">
        <f t="shared" si="0"/>
        <v>525</v>
      </c>
      <c r="N9" s="6">
        <f t="shared" si="1"/>
        <v>39</v>
      </c>
      <c r="O9" s="4" t="s">
        <v>23</v>
      </c>
      <c r="P9" s="6">
        <v>11</v>
      </c>
    </row>
    <row r="10" spans="1:16" x14ac:dyDescent="0.3">
      <c r="A10" s="4"/>
      <c r="B10" s="5"/>
      <c r="C10" s="20">
        <v>25</v>
      </c>
      <c r="D10" s="5"/>
      <c r="E10" s="5"/>
      <c r="F10" s="5"/>
      <c r="G10" s="6"/>
      <c r="I10" s="4"/>
      <c r="J10" s="4" t="s">
        <v>16</v>
      </c>
      <c r="K10" s="5">
        <v>11</v>
      </c>
      <c r="L10" s="5">
        <v>45</v>
      </c>
      <c r="M10" s="5">
        <f t="shared" si="0"/>
        <v>495</v>
      </c>
      <c r="N10" s="6">
        <f t="shared" si="1"/>
        <v>50</v>
      </c>
      <c r="O10" s="4" t="s">
        <v>24</v>
      </c>
      <c r="P10" s="6">
        <v>50</v>
      </c>
    </row>
    <row r="11" spans="1:16" x14ac:dyDescent="0.3">
      <c r="A11" s="4"/>
      <c r="B11" s="5"/>
      <c r="C11" s="20">
        <v>18</v>
      </c>
      <c r="D11" s="5"/>
      <c r="E11" s="5"/>
      <c r="F11" s="5"/>
      <c r="G11" s="6"/>
      <c r="I11" s="4"/>
      <c r="J11" s="13" t="s">
        <v>18</v>
      </c>
      <c r="K11" s="8">
        <f>SUM(K6:K10)</f>
        <v>50</v>
      </c>
      <c r="L11" s="8">
        <f>SUM(L6:L10)</f>
        <v>125</v>
      </c>
      <c r="M11" s="8">
        <f>SUM(M6:M10)</f>
        <v>1460</v>
      </c>
      <c r="N11" s="6">
        <f t="shared" si="1"/>
        <v>100</v>
      </c>
      <c r="O11" s="7" t="s">
        <v>25</v>
      </c>
      <c r="P11" s="9">
        <v>10</v>
      </c>
    </row>
    <row r="12" spans="1:16" x14ac:dyDescent="0.3">
      <c r="A12" s="4"/>
      <c r="B12" s="5"/>
      <c r="C12" s="20">
        <v>20</v>
      </c>
      <c r="D12" s="5"/>
      <c r="E12" s="5"/>
      <c r="F12" s="5"/>
      <c r="G12" s="6"/>
      <c r="I12" s="4"/>
      <c r="J12" s="5"/>
      <c r="K12" s="5"/>
      <c r="L12" s="5"/>
      <c r="M12" s="5"/>
      <c r="N12" s="5"/>
      <c r="O12" s="5"/>
      <c r="P12" s="6"/>
    </row>
    <row r="13" spans="1:16" x14ac:dyDescent="0.3">
      <c r="A13" s="4"/>
      <c r="B13" s="5"/>
      <c r="C13" s="20">
        <v>24</v>
      </c>
      <c r="D13" s="5"/>
      <c r="E13" s="5"/>
      <c r="F13" s="5"/>
      <c r="G13" s="6"/>
      <c r="I13" s="4"/>
      <c r="J13" s="5"/>
      <c r="K13" s="5"/>
      <c r="L13" s="5"/>
      <c r="M13" s="5"/>
      <c r="N13" s="5"/>
      <c r="O13" s="5"/>
      <c r="P13" s="6"/>
    </row>
    <row r="14" spans="1:16" x14ac:dyDescent="0.3">
      <c r="A14" s="4"/>
      <c r="B14" s="5"/>
      <c r="C14" s="21">
        <v>19</v>
      </c>
      <c r="D14" s="5"/>
      <c r="E14" s="5"/>
      <c r="F14" s="5"/>
      <c r="G14" s="6"/>
      <c r="I14" s="4"/>
      <c r="J14" s="14" t="s">
        <v>1</v>
      </c>
      <c r="K14" s="15">
        <f>M11/K11</f>
        <v>29.2</v>
      </c>
      <c r="L14" s="5"/>
      <c r="M14" s="5"/>
      <c r="N14" s="5"/>
      <c r="O14" s="5"/>
      <c r="P14" s="6"/>
    </row>
    <row r="15" spans="1:16" x14ac:dyDescent="0.3">
      <c r="A15" s="4"/>
      <c r="B15" s="5"/>
      <c r="C15" s="5"/>
      <c r="D15" s="5"/>
      <c r="E15" s="5"/>
      <c r="F15" s="5"/>
      <c r="G15" s="6"/>
      <c r="I15" s="4"/>
      <c r="J15" s="11" t="s">
        <v>19</v>
      </c>
      <c r="K15" s="16">
        <f>P6+(((P10/2)-N8)/K9)*P11</f>
        <v>30.666666666666668</v>
      </c>
      <c r="L15" s="5"/>
      <c r="M15" s="5"/>
      <c r="N15" s="5"/>
      <c r="O15" s="5"/>
      <c r="P15" s="6"/>
    </row>
    <row r="16" spans="1:16" x14ac:dyDescent="0.3">
      <c r="A16" s="4"/>
      <c r="B16" s="14" t="s">
        <v>1</v>
      </c>
      <c r="C16" s="15">
        <f>AVERAGE(C5:C14)</f>
        <v>20.100000000000001</v>
      </c>
      <c r="D16" s="5"/>
      <c r="E16" s="5"/>
      <c r="F16" s="5"/>
      <c r="G16" s="6"/>
      <c r="I16" s="4"/>
      <c r="J16" s="17" t="s">
        <v>3</v>
      </c>
      <c r="K16" s="18">
        <f>P6+((P8-P7)/((2*P8)-(P7-P9)))*P11</f>
        <v>31.03448275862069</v>
      </c>
      <c r="L16" s="5"/>
      <c r="M16" s="5"/>
      <c r="N16" s="5"/>
      <c r="O16" s="5"/>
      <c r="P16" s="6"/>
    </row>
    <row r="17" spans="1:16" x14ac:dyDescent="0.3">
      <c r="A17" s="4"/>
      <c r="B17" s="11" t="s">
        <v>2</v>
      </c>
      <c r="C17" s="16">
        <f>MEDIAN(C5:C14)</f>
        <v>20</v>
      </c>
      <c r="D17" s="5"/>
      <c r="E17" s="5"/>
      <c r="F17" s="5"/>
      <c r="G17" s="6"/>
      <c r="I17" s="4"/>
      <c r="J17" s="5"/>
      <c r="K17" s="5"/>
      <c r="L17" s="5"/>
      <c r="M17" s="5"/>
      <c r="N17" s="5"/>
      <c r="O17" s="5"/>
      <c r="P17" s="6"/>
    </row>
    <row r="18" spans="1:16" x14ac:dyDescent="0.3">
      <c r="A18" s="4"/>
      <c r="B18" s="11" t="s">
        <v>3</v>
      </c>
      <c r="C18" s="16" cm="1">
        <f t="array" ref="C18">_xlfn.MODE.MULT(C5:C14)</f>
        <v>20</v>
      </c>
      <c r="D18" s="5" t="s">
        <v>5</v>
      </c>
      <c r="E18" s="5"/>
      <c r="F18" s="5"/>
      <c r="G18" s="6"/>
      <c r="I18" s="4"/>
      <c r="J18" s="5"/>
      <c r="K18" s="5"/>
      <c r="L18" s="5"/>
      <c r="M18" s="5"/>
      <c r="N18" s="5"/>
      <c r="O18" s="5"/>
      <c r="P18" s="6"/>
    </row>
    <row r="19" spans="1:16" x14ac:dyDescent="0.3">
      <c r="A19" s="4"/>
      <c r="B19" s="17"/>
      <c r="C19" s="18">
        <f>_xlfn.MODE.SNGL(C5:C14)</f>
        <v>20</v>
      </c>
      <c r="D19" s="5" t="s">
        <v>4</v>
      </c>
      <c r="E19" s="5"/>
      <c r="F19" s="5"/>
      <c r="G19" s="6"/>
      <c r="I19" s="4"/>
      <c r="J19" s="5"/>
      <c r="K19" s="5"/>
      <c r="L19" s="5"/>
      <c r="M19" s="5"/>
      <c r="N19" s="5"/>
      <c r="O19" s="5"/>
      <c r="P19" s="6"/>
    </row>
    <row r="20" spans="1:16" x14ac:dyDescent="0.3">
      <c r="A20" s="7"/>
      <c r="B20" s="8"/>
      <c r="C20" s="8"/>
      <c r="D20" s="8"/>
      <c r="E20" s="8"/>
      <c r="F20" s="8"/>
      <c r="G20" s="9"/>
      <c r="I20" s="7"/>
      <c r="J20" s="8"/>
      <c r="K20" s="8"/>
      <c r="L20" s="8"/>
      <c r="M20" s="8"/>
      <c r="N20" s="8"/>
      <c r="O20" s="8"/>
      <c r="P2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Borde</dc:creator>
  <cp:lastModifiedBy>Vaibhav Borde</cp:lastModifiedBy>
  <dcterms:created xsi:type="dcterms:W3CDTF">2026-07-30T07:14:56Z</dcterms:created>
  <dcterms:modified xsi:type="dcterms:W3CDTF">2026-07-30T09:14:18Z</dcterms:modified>
</cp:coreProperties>
</file>