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ECAUSE\Downloads\"/>
    </mc:Choice>
  </mc:AlternateContent>
  <xr:revisionPtr revIDLastSave="0" documentId="13_ncr:1_{70A52370-08B2-440F-9FD3-D59EF50A63D4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Student_Population" sheetId="1" r:id="rId1"/>
    <sheet name="Simple Random Sampling" sheetId="2" r:id="rId2"/>
    <sheet name="Systematic Sampling" sheetId="3" r:id="rId3"/>
    <sheet name="STRATISFIED sampling" sheetId="4" r:id="rId4"/>
    <sheet name="AVERAG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H12" i="5"/>
  <c r="I12" i="5"/>
  <c r="J12" i="5"/>
  <c r="F12" i="5"/>
  <c r="G102" i="1"/>
  <c r="H102" i="1"/>
  <c r="I102" i="1"/>
  <c r="J102" i="1"/>
  <c r="F102" i="1"/>
  <c r="A13" i="4" a="1"/>
  <c r="A13" i="4" s="1"/>
  <c r="A13" i="3" a="1"/>
  <c r="A13" i="3" s="1"/>
  <c r="A13" i="2" a="1"/>
  <c r="A13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<sst xmlns="http://schemas.openxmlformats.org/spreadsheetml/2006/main" count="785" uniqueCount="228">
  <si>
    <t>Student_ID</t>
  </si>
  <si>
    <t>Name</t>
  </si>
  <si>
    <t>Gender</t>
  </si>
  <si>
    <t>Department</t>
  </si>
  <si>
    <t>Year</t>
  </si>
  <si>
    <t>Age</t>
  </si>
  <si>
    <t>Study_Hours</t>
  </si>
  <si>
    <t>Attendance_%</t>
  </si>
  <si>
    <t>Marks</t>
  </si>
  <si>
    <t>CGPA</t>
  </si>
  <si>
    <t>S001</t>
  </si>
  <si>
    <t>Siddharth Joshi</t>
  </si>
  <si>
    <t>Male</t>
  </si>
  <si>
    <t>BBA</t>
  </si>
  <si>
    <t>FY</t>
  </si>
  <si>
    <t>S002</t>
  </si>
  <si>
    <t>Aarav Joshi</t>
  </si>
  <si>
    <t>Data Science</t>
  </si>
  <si>
    <t>S003</t>
  </si>
  <si>
    <t>Ananya Patil</t>
  </si>
  <si>
    <t>Female</t>
  </si>
  <si>
    <t>S004</t>
  </si>
  <si>
    <t>Om Gupta</t>
  </si>
  <si>
    <t>S005</t>
  </si>
  <si>
    <t>Meera Joshi</t>
  </si>
  <si>
    <t>S006</t>
  </si>
  <si>
    <t>Priya Sharma</t>
  </si>
  <si>
    <t>S007</t>
  </si>
  <si>
    <t>Vivaan Gupta</t>
  </si>
  <si>
    <t>S008</t>
  </si>
  <si>
    <t>Priya Patil</t>
  </si>
  <si>
    <t>BCA</t>
  </si>
  <si>
    <t>S009</t>
  </si>
  <si>
    <t>Rahul Singh</t>
  </si>
  <si>
    <t>S010</t>
  </si>
  <si>
    <t>Diya Sharma</t>
  </si>
  <si>
    <t>S011</t>
  </si>
  <si>
    <t>Siya Jadhav</t>
  </si>
  <si>
    <t>MCA</t>
  </si>
  <si>
    <t>S012</t>
  </si>
  <si>
    <t>Pranav Sharma</t>
  </si>
  <si>
    <t>S013</t>
  </si>
  <si>
    <t>Mitali Singh</t>
  </si>
  <si>
    <t>S014</t>
  </si>
  <si>
    <t>Sneha Patil</t>
  </si>
  <si>
    <t>S015</t>
  </si>
  <si>
    <t>Ananya Gupta</t>
  </si>
  <si>
    <t>S016</t>
  </si>
  <si>
    <t>Aman Patil</t>
  </si>
  <si>
    <t>S017</t>
  </si>
  <si>
    <t>Aditya Gupta</t>
  </si>
  <si>
    <t>S018</t>
  </si>
  <si>
    <t>Anvi Sharma</t>
  </si>
  <si>
    <t>S019</t>
  </si>
  <si>
    <t>Neha Gupta</t>
  </si>
  <si>
    <t>S020</t>
  </si>
  <si>
    <t>Atharva Kumar</t>
  </si>
  <si>
    <t>S021</t>
  </si>
  <si>
    <t>Aryan Sharma</t>
  </si>
  <si>
    <t>S022</t>
  </si>
  <si>
    <t>Aniket Sharma</t>
  </si>
  <si>
    <t>S023</t>
  </si>
  <si>
    <t>Nikhil Gupta</t>
  </si>
  <si>
    <t>S024</t>
  </si>
  <si>
    <t>Diya Singh</t>
  </si>
  <si>
    <t>S025</t>
  </si>
  <si>
    <t>Diya Patil</t>
  </si>
  <si>
    <t>S026</t>
  </si>
  <si>
    <t>Isha Joshi</t>
  </si>
  <si>
    <t>S027</t>
  </si>
  <si>
    <t>Isha Sharma</t>
  </si>
  <si>
    <t>S028</t>
  </si>
  <si>
    <t>Rahul Gupta</t>
  </si>
  <si>
    <t>S029</t>
  </si>
  <si>
    <t>Siya Gupta</t>
  </si>
  <si>
    <t>S030</t>
  </si>
  <si>
    <t>Nikhil Patil</t>
  </si>
  <si>
    <t>S031</t>
  </si>
  <si>
    <t>Vivaan Singh</t>
  </si>
  <si>
    <t>S032</t>
  </si>
  <si>
    <t>Nikhil Jadhav</t>
  </si>
  <si>
    <t>S033</t>
  </si>
  <si>
    <t>Pooja Kumar</t>
  </si>
  <si>
    <t>S034</t>
  </si>
  <si>
    <t>Riya Singh</t>
  </si>
  <si>
    <t>S035</t>
  </si>
  <si>
    <t>Khushi Patil</t>
  </si>
  <si>
    <t>S036</t>
  </si>
  <si>
    <t>Yash Patil</t>
  </si>
  <si>
    <t>S037</t>
  </si>
  <si>
    <t>S038</t>
  </si>
  <si>
    <t>S039</t>
  </si>
  <si>
    <t>S040</t>
  </si>
  <si>
    <t>Soham Kumar</t>
  </si>
  <si>
    <t>S041</t>
  </si>
  <si>
    <t>Vedant Sharma</t>
  </si>
  <si>
    <t>S042</t>
  </si>
  <si>
    <t>Soham Joshi</t>
  </si>
  <si>
    <t>S043</t>
  </si>
  <si>
    <t>Aman Singh</t>
  </si>
  <si>
    <t>S044</t>
  </si>
  <si>
    <t>Rohan Patil</t>
  </si>
  <si>
    <t>S045</t>
  </si>
  <si>
    <t>Rahul Joshi</t>
  </si>
  <si>
    <t>S046</t>
  </si>
  <si>
    <t>Kavya Patil</t>
  </si>
  <si>
    <t>S047</t>
  </si>
  <si>
    <t>Neha Joshi</t>
  </si>
  <si>
    <t>S048</t>
  </si>
  <si>
    <t>Palak Gupta</t>
  </si>
  <si>
    <t>S049</t>
  </si>
  <si>
    <t>Karan Patil</t>
  </si>
  <si>
    <t>S050</t>
  </si>
  <si>
    <t>Aditya Kumar</t>
  </si>
  <si>
    <t>S051</t>
  </si>
  <si>
    <t>Khushi Kumar</t>
  </si>
  <si>
    <t>S052</t>
  </si>
  <si>
    <t>Arjun Jadhav</t>
  </si>
  <si>
    <t>S053</t>
  </si>
  <si>
    <t>Aman Kumar</t>
  </si>
  <si>
    <t>S054</t>
  </si>
  <si>
    <t>Mitali Gupta</t>
  </si>
  <si>
    <t>S055</t>
  </si>
  <si>
    <t>Nikhil Kumar</t>
  </si>
  <si>
    <t>S056</t>
  </si>
  <si>
    <t>Yash Jadhav</t>
  </si>
  <si>
    <t>S057</t>
  </si>
  <si>
    <t>Mitali Sharma</t>
  </si>
  <si>
    <t>S058</t>
  </si>
  <si>
    <t>S059</t>
  </si>
  <si>
    <t>Karan Sharma</t>
  </si>
  <si>
    <t>S060</t>
  </si>
  <si>
    <t>S061</t>
  </si>
  <si>
    <t>Harsh Sharma</t>
  </si>
  <si>
    <t>S062</t>
  </si>
  <si>
    <t>S063</t>
  </si>
  <si>
    <t>Aarav Kumar</t>
  </si>
  <si>
    <t>S064</t>
  </si>
  <si>
    <t>Mitali Patil</t>
  </si>
  <si>
    <t>S065</t>
  </si>
  <si>
    <t>Sneha Jadhav</t>
  </si>
  <si>
    <t>S066</t>
  </si>
  <si>
    <t>Karan Kumar</t>
  </si>
  <si>
    <t>S067</t>
  </si>
  <si>
    <t>Vaishnavi Singh</t>
  </si>
  <si>
    <t>S068</t>
  </si>
  <si>
    <t>Aniket Patil</t>
  </si>
  <si>
    <t>S069</t>
  </si>
  <si>
    <t>Riya Patil</t>
  </si>
  <si>
    <t>S070</t>
  </si>
  <si>
    <t>Arjun Joshi</t>
  </si>
  <si>
    <t>S071</t>
  </si>
  <si>
    <t>Dev Joshi</t>
  </si>
  <si>
    <t>S072</t>
  </si>
  <si>
    <t>Kavya Joshi</t>
  </si>
  <si>
    <t>S073</t>
  </si>
  <si>
    <t>Riya Sharma</t>
  </si>
  <si>
    <t>S074</t>
  </si>
  <si>
    <t>Ananya Singh</t>
  </si>
  <si>
    <t>S075</t>
  </si>
  <si>
    <t>Sakshi Sharma</t>
  </si>
  <si>
    <t>S076</t>
  </si>
  <si>
    <t>S077</t>
  </si>
  <si>
    <t>Om Joshi</t>
  </si>
  <si>
    <t>S078</t>
  </si>
  <si>
    <t>Isha Singh</t>
  </si>
  <si>
    <t>S079</t>
  </si>
  <si>
    <t>Mitali Joshi</t>
  </si>
  <si>
    <t>S080</t>
  </si>
  <si>
    <t>S081</t>
  </si>
  <si>
    <t>Anvi Gupta</t>
  </si>
  <si>
    <t>S082</t>
  </si>
  <si>
    <t>Aditya Patil</t>
  </si>
  <si>
    <t>S083</t>
  </si>
  <si>
    <t>Harsh Gupta</t>
  </si>
  <si>
    <t>S084</t>
  </si>
  <si>
    <t>Shruti Gupta</t>
  </si>
  <si>
    <t>S085</t>
  </si>
  <si>
    <t>Tanvi Kumar</t>
  </si>
  <si>
    <t>S086</t>
  </si>
  <si>
    <t>Yash Sharma</t>
  </si>
  <si>
    <t>S087</t>
  </si>
  <si>
    <t>Pooja Patil</t>
  </si>
  <si>
    <t>S088</t>
  </si>
  <si>
    <t>Palak Joshi</t>
  </si>
  <si>
    <t>S089</t>
  </si>
  <si>
    <t>S090</t>
  </si>
  <si>
    <t>Ananya Joshi</t>
  </si>
  <si>
    <t>S091</t>
  </si>
  <si>
    <t>Khushi Sharma</t>
  </si>
  <si>
    <t>S092</t>
  </si>
  <si>
    <t>Soham Patil</t>
  </si>
  <si>
    <t>S093</t>
  </si>
  <si>
    <t>Pranav Kumar</t>
  </si>
  <si>
    <t>S094</t>
  </si>
  <si>
    <t>Aryan Singh</t>
  </si>
  <si>
    <t>S095</t>
  </si>
  <si>
    <t>S096</t>
  </si>
  <si>
    <t>Atharva Jadhav</t>
  </si>
  <si>
    <t>S097</t>
  </si>
  <si>
    <t>Priya Jadhav</t>
  </si>
  <si>
    <t>S098</t>
  </si>
  <si>
    <t>Rahul Patil</t>
  </si>
  <si>
    <t>S099</t>
  </si>
  <si>
    <t>Siddharth Gupta</t>
  </si>
  <si>
    <t>S100</t>
  </si>
  <si>
    <t>Kavya Gupta</t>
  </si>
  <si>
    <t>st_id</t>
  </si>
  <si>
    <t>name</t>
  </si>
  <si>
    <t>gender</t>
  </si>
  <si>
    <t>Qualatitive</t>
  </si>
  <si>
    <t>dept</t>
  </si>
  <si>
    <t>year</t>
  </si>
  <si>
    <t>age</t>
  </si>
  <si>
    <t>quantative</t>
  </si>
  <si>
    <t>descrete</t>
  </si>
  <si>
    <t>study_hours</t>
  </si>
  <si>
    <t>attandance</t>
  </si>
  <si>
    <t>quantiative</t>
  </si>
  <si>
    <t>marks</t>
  </si>
  <si>
    <t>cgpa</t>
  </si>
  <si>
    <t>oridnal</t>
  </si>
  <si>
    <t>nominal</t>
  </si>
  <si>
    <t>contineous</t>
  </si>
  <si>
    <t>find avg of possible variables Question 3  age, attandance, etc</t>
  </si>
  <si>
    <t xml:space="preserve">  </t>
  </si>
  <si>
    <t xml:space="preserve">  Simple random sampling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</si>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</sst>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opLeftCell="A96" workbookViewId="0">
      <selection activeCell="H104" sqref="H104"/>
    </sheetView>
  </sheetViews>
  <sheetFormatPr defaultRowHeight="14.4" x14ac:dyDescent="0.3"/>
  <cols>
    <col min="2" max="2" width="14.5546875" bestFit="1" customWidth="1"/>
    <col min="3" max="3" width="7" bestFit="1" customWidth="1"/>
    <col min="4" max="4" width="11.21875" bestFit="1" customWidth="1"/>
    <col min="7" max="7" width="11.44140625" bestFit="1" customWidth="1"/>
    <col min="8" max="8" width="12.88671875" bestFit="1" customWidth="1"/>
    <col min="9" max="9" width="6" bestFit="1" customWidth="1"/>
    <col min="10" max="10" width="5.33203125" bestFit="1" customWidth="1"/>
    <col min="13" max="13" width="12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4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21</v>
      </c>
      <c r="G2">
        <v>1</v>
      </c>
      <c r="H2">
        <v>80</v>
      </c>
      <c r="I2">
        <v>59</v>
      </c>
      <c r="J2">
        <v>6.25</v>
      </c>
      <c r="L2" t="s">
        <v>207</v>
      </c>
      <c r="M2" t="s">
        <v>210</v>
      </c>
      <c r="N2" t="s">
        <v>221</v>
      </c>
    </row>
    <row r="3" spans="1:14" x14ac:dyDescent="0.3">
      <c r="A3" t="s">
        <v>15</v>
      </c>
      <c r="B3" t="s">
        <v>16</v>
      </c>
      <c r="C3" t="s">
        <v>12</v>
      </c>
      <c r="D3" t="s">
        <v>17</v>
      </c>
      <c r="E3" t="s">
        <v>14</v>
      </c>
      <c r="F3">
        <v>19</v>
      </c>
      <c r="G3">
        <v>5</v>
      </c>
      <c r="H3">
        <v>79</v>
      </c>
      <c r="I3">
        <v>45</v>
      </c>
      <c r="J3">
        <v>6.28</v>
      </c>
      <c r="L3" t="s">
        <v>208</v>
      </c>
      <c r="M3" t="s">
        <v>210</v>
      </c>
      <c r="N3" t="s">
        <v>222</v>
      </c>
    </row>
    <row r="4" spans="1:14" x14ac:dyDescent="0.3">
      <c r="A4" t="s">
        <v>18</v>
      </c>
      <c r="B4" t="s">
        <v>19</v>
      </c>
      <c r="C4" t="s">
        <v>20</v>
      </c>
      <c r="D4" t="s">
        <v>17</v>
      </c>
      <c r="E4" t="s">
        <v>14</v>
      </c>
      <c r="F4">
        <v>18</v>
      </c>
      <c r="G4">
        <v>1</v>
      </c>
      <c r="H4">
        <v>86</v>
      </c>
      <c r="I4">
        <v>49</v>
      </c>
      <c r="J4">
        <v>8.01</v>
      </c>
      <c r="L4" t="s">
        <v>209</v>
      </c>
      <c r="M4" t="s">
        <v>210</v>
      </c>
      <c r="N4" t="s">
        <v>222</v>
      </c>
    </row>
    <row r="5" spans="1:14" x14ac:dyDescent="0.3">
      <c r="A5" t="s">
        <v>21</v>
      </c>
      <c r="B5" t="s">
        <v>22</v>
      </c>
      <c r="C5" t="s">
        <v>12</v>
      </c>
      <c r="D5" t="s">
        <v>17</v>
      </c>
      <c r="E5" t="s">
        <v>14</v>
      </c>
      <c r="F5">
        <v>21</v>
      </c>
      <c r="G5">
        <v>2</v>
      </c>
      <c r="H5">
        <v>99</v>
      </c>
      <c r="I5">
        <v>53</v>
      </c>
      <c r="J5">
        <v>8.82</v>
      </c>
      <c r="L5" t="s">
        <v>211</v>
      </c>
      <c r="M5" t="s">
        <v>210</v>
      </c>
      <c r="N5" t="s">
        <v>222</v>
      </c>
    </row>
    <row r="6" spans="1:14" x14ac:dyDescent="0.3">
      <c r="A6" t="s">
        <v>23</v>
      </c>
      <c r="B6" t="s">
        <v>24</v>
      </c>
      <c r="C6" t="s">
        <v>20</v>
      </c>
      <c r="D6" t="s">
        <v>13</v>
      </c>
      <c r="E6" t="s">
        <v>14</v>
      </c>
      <c r="F6">
        <v>21</v>
      </c>
      <c r="G6">
        <v>2</v>
      </c>
      <c r="H6">
        <v>95</v>
      </c>
      <c r="I6">
        <v>96</v>
      </c>
      <c r="J6">
        <v>7.59</v>
      </c>
      <c r="L6" t="s">
        <v>212</v>
      </c>
      <c r="M6" t="s">
        <v>210</v>
      </c>
      <c r="N6" t="s">
        <v>221</v>
      </c>
    </row>
    <row r="7" spans="1:14" x14ac:dyDescent="0.3">
      <c r="A7" t="s">
        <v>25</v>
      </c>
      <c r="B7" t="s">
        <v>26</v>
      </c>
      <c r="C7" t="s">
        <v>20</v>
      </c>
      <c r="D7" t="s">
        <v>17</v>
      </c>
      <c r="E7" t="s">
        <v>14</v>
      </c>
      <c r="F7">
        <v>21</v>
      </c>
      <c r="G7">
        <v>3</v>
      </c>
      <c r="H7">
        <v>92</v>
      </c>
      <c r="I7">
        <v>71</v>
      </c>
      <c r="J7">
        <v>7.82</v>
      </c>
      <c r="L7" t="s">
        <v>213</v>
      </c>
      <c r="M7" t="s">
        <v>214</v>
      </c>
      <c r="N7" t="s">
        <v>215</v>
      </c>
    </row>
    <row r="8" spans="1:14" x14ac:dyDescent="0.3">
      <c r="A8" t="s">
        <v>27</v>
      </c>
      <c r="B8" t="s">
        <v>28</v>
      </c>
      <c r="C8" t="s">
        <v>12</v>
      </c>
      <c r="D8" t="s">
        <v>17</v>
      </c>
      <c r="E8" t="s">
        <v>14</v>
      </c>
      <c r="F8">
        <v>18</v>
      </c>
      <c r="G8">
        <v>1</v>
      </c>
      <c r="H8">
        <v>90</v>
      </c>
      <c r="I8">
        <v>91</v>
      </c>
      <c r="J8">
        <v>7.32</v>
      </c>
      <c r="L8" t="s">
        <v>216</v>
      </c>
      <c r="M8" t="s">
        <v>214</v>
      </c>
      <c r="N8" t="s">
        <v>223</v>
      </c>
    </row>
    <row r="9" spans="1:14" x14ac:dyDescent="0.3">
      <c r="A9" t="s">
        <v>29</v>
      </c>
      <c r="B9" t="s">
        <v>30</v>
      </c>
      <c r="C9" t="s">
        <v>20</v>
      </c>
      <c r="D9" t="s">
        <v>31</v>
      </c>
      <c r="E9" t="s">
        <v>14</v>
      </c>
      <c r="F9">
        <v>19</v>
      </c>
      <c r="G9">
        <v>2</v>
      </c>
      <c r="H9">
        <v>99</v>
      </c>
      <c r="I9">
        <v>73</v>
      </c>
      <c r="J9">
        <v>6.55</v>
      </c>
      <c r="L9" t="s">
        <v>217</v>
      </c>
      <c r="M9" t="s">
        <v>218</v>
      </c>
      <c r="N9" t="s">
        <v>223</v>
      </c>
    </row>
    <row r="10" spans="1:14" x14ac:dyDescent="0.3">
      <c r="A10" t="s">
        <v>32</v>
      </c>
      <c r="B10" t="s">
        <v>33</v>
      </c>
      <c r="C10" t="s">
        <v>12</v>
      </c>
      <c r="D10" t="s">
        <v>17</v>
      </c>
      <c r="E10" t="s">
        <v>14</v>
      </c>
      <c r="F10">
        <v>21</v>
      </c>
      <c r="G10">
        <v>2</v>
      </c>
      <c r="H10">
        <v>69</v>
      </c>
      <c r="I10">
        <v>73</v>
      </c>
      <c r="J10">
        <v>9.15</v>
      </c>
      <c r="L10" t="s">
        <v>219</v>
      </c>
      <c r="M10" t="s">
        <v>218</v>
      </c>
      <c r="N10" t="s">
        <v>215</v>
      </c>
    </row>
    <row r="11" spans="1:14" x14ac:dyDescent="0.3">
      <c r="A11" t="s">
        <v>34</v>
      </c>
      <c r="B11" t="s">
        <v>35</v>
      </c>
      <c r="C11" t="s">
        <v>20</v>
      </c>
      <c r="D11" t="s">
        <v>31</v>
      </c>
      <c r="E11" t="s">
        <v>14</v>
      </c>
      <c r="F11">
        <v>18</v>
      </c>
      <c r="G11">
        <v>6</v>
      </c>
      <c r="H11">
        <v>99</v>
      </c>
      <c r="I11">
        <v>98</v>
      </c>
      <c r="J11">
        <v>6.06</v>
      </c>
      <c r="L11" t="s">
        <v>220</v>
      </c>
      <c r="M11" t="s">
        <v>214</v>
      </c>
      <c r="N11" t="s">
        <v>223</v>
      </c>
    </row>
    <row r="12" spans="1:14" x14ac:dyDescent="0.3">
      <c r="A12" t="s">
        <v>36</v>
      </c>
      <c r="B12" t="s">
        <v>37</v>
      </c>
      <c r="C12" t="s">
        <v>20</v>
      </c>
      <c r="D12" t="s">
        <v>38</v>
      </c>
      <c r="E12" t="s">
        <v>14</v>
      </c>
      <c r="F12">
        <v>19</v>
      </c>
      <c r="G12">
        <v>2</v>
      </c>
      <c r="H12">
        <v>91</v>
      </c>
      <c r="I12">
        <v>76</v>
      </c>
      <c r="J12">
        <v>7.88</v>
      </c>
    </row>
    <row r="13" spans="1:14" x14ac:dyDescent="0.3">
      <c r="A13" t="s">
        <v>39</v>
      </c>
      <c r="B13" t="s">
        <v>40</v>
      </c>
      <c r="C13" t="s">
        <v>12</v>
      </c>
      <c r="D13" t="s">
        <v>13</v>
      </c>
      <c r="E13" t="s">
        <v>14</v>
      </c>
      <c r="F13">
        <v>19</v>
      </c>
      <c r="G13">
        <v>4</v>
      </c>
      <c r="H13">
        <v>65</v>
      </c>
      <c r="I13">
        <v>69</v>
      </c>
      <c r="J13">
        <v>7.03</v>
      </c>
    </row>
    <row r="14" spans="1:14" x14ac:dyDescent="0.3">
      <c r="A14" t="s">
        <v>41</v>
      </c>
      <c r="B14" t="s">
        <v>42</v>
      </c>
      <c r="C14" t="s">
        <v>20</v>
      </c>
      <c r="D14" t="s">
        <v>38</v>
      </c>
      <c r="E14" t="s">
        <v>14</v>
      </c>
      <c r="F14">
        <v>21</v>
      </c>
      <c r="G14">
        <v>6</v>
      </c>
      <c r="H14">
        <v>100</v>
      </c>
      <c r="I14">
        <v>87</v>
      </c>
      <c r="J14">
        <v>8.8000000000000007</v>
      </c>
    </row>
    <row r="15" spans="1:14" x14ac:dyDescent="0.3">
      <c r="A15" t="s">
        <v>43</v>
      </c>
      <c r="B15" t="s">
        <v>44</v>
      </c>
      <c r="C15" t="s">
        <v>20</v>
      </c>
      <c r="D15" t="s">
        <v>31</v>
      </c>
      <c r="E15" t="s">
        <v>14</v>
      </c>
      <c r="F15">
        <v>20</v>
      </c>
      <c r="G15">
        <v>2</v>
      </c>
      <c r="H15">
        <v>68</v>
      </c>
      <c r="I15">
        <v>82</v>
      </c>
      <c r="J15">
        <v>8.8699999999999992</v>
      </c>
    </row>
    <row r="16" spans="1:14" x14ac:dyDescent="0.3">
      <c r="A16" t="s">
        <v>45</v>
      </c>
      <c r="B16" t="s">
        <v>46</v>
      </c>
      <c r="C16" t="s">
        <v>20</v>
      </c>
      <c r="D16" t="s">
        <v>31</v>
      </c>
      <c r="E16" t="s">
        <v>14</v>
      </c>
      <c r="F16">
        <v>20</v>
      </c>
      <c r="G16">
        <v>1</v>
      </c>
      <c r="H16">
        <v>68</v>
      </c>
      <c r="I16">
        <v>82</v>
      </c>
      <c r="J16">
        <v>7.86</v>
      </c>
    </row>
    <row r="17" spans="1:10" x14ac:dyDescent="0.3">
      <c r="A17" t="s">
        <v>47</v>
      </c>
      <c r="B17" t="s">
        <v>48</v>
      </c>
      <c r="C17" t="s">
        <v>12</v>
      </c>
      <c r="D17" t="s">
        <v>17</v>
      </c>
      <c r="E17" t="s">
        <v>14</v>
      </c>
      <c r="F17">
        <v>18</v>
      </c>
      <c r="G17">
        <v>5</v>
      </c>
      <c r="H17">
        <v>70</v>
      </c>
      <c r="I17">
        <v>56</v>
      </c>
      <c r="J17">
        <v>6.27</v>
      </c>
    </row>
    <row r="18" spans="1:10" x14ac:dyDescent="0.3">
      <c r="A18" t="s">
        <v>49</v>
      </c>
      <c r="B18" t="s">
        <v>50</v>
      </c>
      <c r="C18" t="s">
        <v>12</v>
      </c>
      <c r="D18" t="s">
        <v>13</v>
      </c>
      <c r="E18" t="s">
        <v>14</v>
      </c>
      <c r="F18">
        <v>19</v>
      </c>
      <c r="G18">
        <v>4</v>
      </c>
      <c r="H18">
        <v>72</v>
      </c>
      <c r="I18">
        <v>81</v>
      </c>
      <c r="J18">
        <v>6.96</v>
      </c>
    </row>
    <row r="19" spans="1:10" x14ac:dyDescent="0.3">
      <c r="A19" t="s">
        <v>51</v>
      </c>
      <c r="B19" t="s">
        <v>52</v>
      </c>
      <c r="C19" t="s">
        <v>20</v>
      </c>
      <c r="D19" t="s">
        <v>38</v>
      </c>
      <c r="E19" t="s">
        <v>14</v>
      </c>
      <c r="F19">
        <v>18</v>
      </c>
      <c r="G19">
        <v>4</v>
      </c>
      <c r="H19">
        <v>98</v>
      </c>
      <c r="I19">
        <v>65</v>
      </c>
      <c r="J19">
        <v>9.65</v>
      </c>
    </row>
    <row r="20" spans="1:10" x14ac:dyDescent="0.3">
      <c r="A20" t="s">
        <v>53</v>
      </c>
      <c r="B20" t="s">
        <v>54</v>
      </c>
      <c r="C20" t="s">
        <v>20</v>
      </c>
      <c r="D20" t="s">
        <v>31</v>
      </c>
      <c r="E20" t="s">
        <v>14</v>
      </c>
      <c r="F20">
        <v>20</v>
      </c>
      <c r="G20">
        <v>2</v>
      </c>
      <c r="H20">
        <v>81</v>
      </c>
      <c r="I20">
        <v>70</v>
      </c>
      <c r="J20">
        <v>6.51</v>
      </c>
    </row>
    <row r="21" spans="1:10" x14ac:dyDescent="0.3">
      <c r="A21" t="s">
        <v>55</v>
      </c>
      <c r="B21" t="s">
        <v>56</v>
      </c>
      <c r="C21" t="s">
        <v>12</v>
      </c>
      <c r="D21" t="s">
        <v>17</v>
      </c>
      <c r="E21" t="s">
        <v>14</v>
      </c>
      <c r="F21">
        <v>20</v>
      </c>
      <c r="G21">
        <v>1</v>
      </c>
      <c r="H21">
        <v>65</v>
      </c>
      <c r="I21">
        <v>74</v>
      </c>
      <c r="J21">
        <v>8.42</v>
      </c>
    </row>
    <row r="22" spans="1:10" x14ac:dyDescent="0.3">
      <c r="A22" t="s">
        <v>57</v>
      </c>
      <c r="B22" t="s">
        <v>58</v>
      </c>
      <c r="C22" t="s">
        <v>12</v>
      </c>
      <c r="D22" t="s">
        <v>31</v>
      </c>
      <c r="E22" t="s">
        <v>14</v>
      </c>
      <c r="F22">
        <v>18</v>
      </c>
      <c r="G22">
        <v>5</v>
      </c>
      <c r="H22">
        <v>78</v>
      </c>
      <c r="I22">
        <v>77</v>
      </c>
      <c r="J22">
        <v>7.03</v>
      </c>
    </row>
    <row r="23" spans="1:10" x14ac:dyDescent="0.3">
      <c r="A23" t="s">
        <v>59</v>
      </c>
      <c r="B23" t="s">
        <v>60</v>
      </c>
      <c r="C23" t="s">
        <v>12</v>
      </c>
      <c r="D23" t="s">
        <v>38</v>
      </c>
      <c r="E23" t="s">
        <v>14</v>
      </c>
      <c r="F23">
        <v>19</v>
      </c>
      <c r="G23">
        <v>3</v>
      </c>
      <c r="H23">
        <v>83</v>
      </c>
      <c r="I23">
        <v>55</v>
      </c>
      <c r="J23">
        <v>7.71</v>
      </c>
    </row>
    <row r="24" spans="1:10" x14ac:dyDescent="0.3">
      <c r="A24" t="s">
        <v>61</v>
      </c>
      <c r="B24" t="s">
        <v>62</v>
      </c>
      <c r="C24" t="s">
        <v>12</v>
      </c>
      <c r="D24" t="s">
        <v>17</v>
      </c>
      <c r="E24" t="s">
        <v>14</v>
      </c>
      <c r="F24">
        <v>20</v>
      </c>
      <c r="G24">
        <v>5</v>
      </c>
      <c r="H24">
        <v>98</v>
      </c>
      <c r="I24">
        <v>45</v>
      </c>
      <c r="J24">
        <v>8.6</v>
      </c>
    </row>
    <row r="25" spans="1:10" x14ac:dyDescent="0.3">
      <c r="A25" t="s">
        <v>63</v>
      </c>
      <c r="B25" t="s">
        <v>64</v>
      </c>
      <c r="C25" t="s">
        <v>20</v>
      </c>
      <c r="D25" t="s">
        <v>31</v>
      </c>
      <c r="E25" t="s">
        <v>14</v>
      </c>
      <c r="F25">
        <v>18</v>
      </c>
      <c r="G25">
        <v>2</v>
      </c>
      <c r="H25">
        <v>81</v>
      </c>
      <c r="I25">
        <v>52</v>
      </c>
      <c r="J25">
        <v>9.4700000000000006</v>
      </c>
    </row>
    <row r="26" spans="1:10" x14ac:dyDescent="0.3">
      <c r="A26" t="s">
        <v>65</v>
      </c>
      <c r="B26" t="s">
        <v>66</v>
      </c>
      <c r="C26" t="s">
        <v>20</v>
      </c>
      <c r="D26" t="s">
        <v>38</v>
      </c>
      <c r="E26" t="s">
        <v>14</v>
      </c>
      <c r="F26">
        <v>20</v>
      </c>
      <c r="G26">
        <v>3</v>
      </c>
      <c r="H26">
        <v>78</v>
      </c>
      <c r="I26">
        <v>90</v>
      </c>
      <c r="J26">
        <v>7.34</v>
      </c>
    </row>
    <row r="27" spans="1:10" x14ac:dyDescent="0.3">
      <c r="A27" t="s">
        <v>67</v>
      </c>
      <c r="B27" t="s">
        <v>68</v>
      </c>
      <c r="C27" t="s">
        <v>20</v>
      </c>
      <c r="D27" t="s">
        <v>38</v>
      </c>
      <c r="E27" t="s">
        <v>14</v>
      </c>
      <c r="F27">
        <v>21</v>
      </c>
      <c r="G27">
        <v>3</v>
      </c>
      <c r="H27">
        <v>68</v>
      </c>
      <c r="I27">
        <v>50</v>
      </c>
      <c r="J27">
        <v>8.4700000000000006</v>
      </c>
    </row>
    <row r="28" spans="1:10" x14ac:dyDescent="0.3">
      <c r="A28" t="s">
        <v>69</v>
      </c>
      <c r="B28" t="s">
        <v>70</v>
      </c>
      <c r="C28" t="s">
        <v>20</v>
      </c>
      <c r="D28" t="s">
        <v>17</v>
      </c>
      <c r="E28" t="s">
        <v>14</v>
      </c>
      <c r="F28">
        <v>18</v>
      </c>
      <c r="G28">
        <v>3</v>
      </c>
      <c r="H28">
        <v>73</v>
      </c>
      <c r="I28">
        <v>85</v>
      </c>
      <c r="J28">
        <v>9.82</v>
      </c>
    </row>
    <row r="29" spans="1:10" x14ac:dyDescent="0.3">
      <c r="A29" t="s">
        <v>71</v>
      </c>
      <c r="B29" t="s">
        <v>72</v>
      </c>
      <c r="C29" t="s">
        <v>12</v>
      </c>
      <c r="D29" t="s">
        <v>38</v>
      </c>
      <c r="E29" t="s">
        <v>14</v>
      </c>
      <c r="F29">
        <v>21</v>
      </c>
      <c r="G29">
        <v>5</v>
      </c>
      <c r="H29">
        <v>92</v>
      </c>
      <c r="I29">
        <v>80</v>
      </c>
      <c r="J29">
        <v>6.04</v>
      </c>
    </row>
    <row r="30" spans="1:10" x14ac:dyDescent="0.3">
      <c r="A30" t="s">
        <v>73</v>
      </c>
      <c r="B30" t="s">
        <v>74</v>
      </c>
      <c r="C30" t="s">
        <v>20</v>
      </c>
      <c r="D30" t="s">
        <v>17</v>
      </c>
      <c r="E30" t="s">
        <v>14</v>
      </c>
      <c r="F30">
        <v>19</v>
      </c>
      <c r="G30">
        <v>5</v>
      </c>
      <c r="H30">
        <v>67</v>
      </c>
      <c r="I30">
        <v>98</v>
      </c>
      <c r="J30">
        <v>7.44</v>
      </c>
    </row>
    <row r="31" spans="1:10" x14ac:dyDescent="0.3">
      <c r="A31" t="s">
        <v>75</v>
      </c>
      <c r="B31" t="s">
        <v>76</v>
      </c>
      <c r="C31" t="s">
        <v>12</v>
      </c>
      <c r="D31" t="s">
        <v>31</v>
      </c>
      <c r="E31" t="s">
        <v>14</v>
      </c>
      <c r="F31">
        <v>21</v>
      </c>
      <c r="G31">
        <v>2</v>
      </c>
      <c r="H31">
        <v>67</v>
      </c>
      <c r="I31">
        <v>64</v>
      </c>
      <c r="J31">
        <v>7.42</v>
      </c>
    </row>
    <row r="32" spans="1:10" x14ac:dyDescent="0.3">
      <c r="A32" t="s">
        <v>77</v>
      </c>
      <c r="B32" t="s">
        <v>78</v>
      </c>
      <c r="C32" t="s">
        <v>12</v>
      </c>
      <c r="D32" t="s">
        <v>31</v>
      </c>
      <c r="E32" t="s">
        <v>14</v>
      </c>
      <c r="F32">
        <v>19</v>
      </c>
      <c r="G32">
        <v>6</v>
      </c>
      <c r="H32">
        <v>80</v>
      </c>
      <c r="I32">
        <v>87</v>
      </c>
      <c r="J32">
        <v>6.4</v>
      </c>
    </row>
    <row r="33" spans="1:10" x14ac:dyDescent="0.3">
      <c r="A33" t="s">
        <v>79</v>
      </c>
      <c r="B33" t="s">
        <v>80</v>
      </c>
      <c r="C33" t="s">
        <v>12</v>
      </c>
      <c r="D33" t="s">
        <v>13</v>
      </c>
      <c r="E33" t="s">
        <v>14</v>
      </c>
      <c r="F33">
        <v>21</v>
      </c>
      <c r="G33">
        <v>5</v>
      </c>
      <c r="H33">
        <v>74</v>
      </c>
      <c r="I33">
        <v>60</v>
      </c>
      <c r="J33">
        <v>9.3699999999999992</v>
      </c>
    </row>
    <row r="34" spans="1:10" x14ac:dyDescent="0.3">
      <c r="A34" t="s">
        <v>81</v>
      </c>
      <c r="B34" t="s">
        <v>82</v>
      </c>
      <c r="C34" t="s">
        <v>20</v>
      </c>
      <c r="D34" t="s">
        <v>31</v>
      </c>
      <c r="E34" t="s">
        <v>14</v>
      </c>
      <c r="F34">
        <v>18</v>
      </c>
      <c r="G34">
        <v>2</v>
      </c>
      <c r="H34">
        <v>86</v>
      </c>
      <c r="I34">
        <v>95</v>
      </c>
      <c r="J34">
        <v>9.6300000000000008</v>
      </c>
    </row>
    <row r="35" spans="1:10" x14ac:dyDescent="0.3">
      <c r="A35" t="s">
        <v>83</v>
      </c>
      <c r="B35" t="s">
        <v>84</v>
      </c>
      <c r="C35" t="s">
        <v>20</v>
      </c>
      <c r="D35" t="s">
        <v>17</v>
      </c>
      <c r="E35" t="s">
        <v>14</v>
      </c>
      <c r="F35">
        <v>19</v>
      </c>
      <c r="G35">
        <v>6</v>
      </c>
      <c r="H35">
        <v>71</v>
      </c>
      <c r="I35">
        <v>69</v>
      </c>
      <c r="J35">
        <v>9.4</v>
      </c>
    </row>
    <row r="36" spans="1:10" x14ac:dyDescent="0.3">
      <c r="A36" t="s">
        <v>85</v>
      </c>
      <c r="B36" t="s">
        <v>86</v>
      </c>
      <c r="C36" t="s">
        <v>20</v>
      </c>
      <c r="D36" t="s">
        <v>17</v>
      </c>
      <c r="E36" t="s">
        <v>14</v>
      </c>
      <c r="F36">
        <v>19</v>
      </c>
      <c r="G36">
        <v>4</v>
      </c>
      <c r="H36">
        <v>87</v>
      </c>
      <c r="I36">
        <v>64</v>
      </c>
      <c r="J36">
        <v>9.1999999999999993</v>
      </c>
    </row>
    <row r="37" spans="1:10" x14ac:dyDescent="0.3">
      <c r="A37" t="s">
        <v>87</v>
      </c>
      <c r="B37" t="s">
        <v>88</v>
      </c>
      <c r="C37" t="s">
        <v>12</v>
      </c>
      <c r="D37" t="s">
        <v>17</v>
      </c>
      <c r="E37" t="s">
        <v>14</v>
      </c>
      <c r="F37">
        <v>18</v>
      </c>
      <c r="G37">
        <v>6</v>
      </c>
      <c r="H37">
        <v>77</v>
      </c>
      <c r="I37">
        <v>70</v>
      </c>
      <c r="J37">
        <v>7.28</v>
      </c>
    </row>
    <row r="38" spans="1:10" x14ac:dyDescent="0.3">
      <c r="A38" t="s">
        <v>89</v>
      </c>
      <c r="B38" t="s">
        <v>37</v>
      </c>
      <c r="C38" t="s">
        <v>20</v>
      </c>
      <c r="D38" t="s">
        <v>31</v>
      </c>
      <c r="E38" t="s">
        <v>14</v>
      </c>
      <c r="F38">
        <v>20</v>
      </c>
      <c r="G38">
        <v>3</v>
      </c>
      <c r="H38">
        <v>97</v>
      </c>
      <c r="I38">
        <v>70</v>
      </c>
      <c r="J38">
        <v>8.65</v>
      </c>
    </row>
    <row r="39" spans="1:10" x14ac:dyDescent="0.3">
      <c r="A39" t="s">
        <v>90</v>
      </c>
      <c r="B39" t="s">
        <v>64</v>
      </c>
      <c r="C39" t="s">
        <v>20</v>
      </c>
      <c r="D39" t="s">
        <v>13</v>
      </c>
      <c r="E39" t="s">
        <v>14</v>
      </c>
      <c r="F39">
        <v>18</v>
      </c>
      <c r="G39">
        <v>1</v>
      </c>
      <c r="H39">
        <v>81</v>
      </c>
      <c r="I39">
        <v>56</v>
      </c>
      <c r="J39">
        <v>8.26</v>
      </c>
    </row>
    <row r="40" spans="1:10" x14ac:dyDescent="0.3">
      <c r="A40" t="s">
        <v>91</v>
      </c>
      <c r="B40" t="s">
        <v>70</v>
      </c>
      <c r="C40" t="s">
        <v>20</v>
      </c>
      <c r="D40" t="s">
        <v>38</v>
      </c>
      <c r="E40" t="s">
        <v>14</v>
      </c>
      <c r="F40">
        <v>18</v>
      </c>
      <c r="G40">
        <v>5</v>
      </c>
      <c r="H40">
        <v>92</v>
      </c>
      <c r="I40">
        <v>67</v>
      </c>
      <c r="J40">
        <v>8.84</v>
      </c>
    </row>
    <row r="41" spans="1:10" x14ac:dyDescent="0.3">
      <c r="A41" t="s">
        <v>92</v>
      </c>
      <c r="B41" t="s">
        <v>93</v>
      </c>
      <c r="C41" t="s">
        <v>12</v>
      </c>
      <c r="D41" t="s">
        <v>38</v>
      </c>
      <c r="E41" t="s">
        <v>14</v>
      </c>
      <c r="F41">
        <v>18</v>
      </c>
      <c r="G41">
        <v>4</v>
      </c>
      <c r="H41">
        <v>77</v>
      </c>
      <c r="I41">
        <v>61</v>
      </c>
      <c r="J41">
        <v>6.17</v>
      </c>
    </row>
    <row r="42" spans="1:10" x14ac:dyDescent="0.3">
      <c r="A42" t="s">
        <v>94</v>
      </c>
      <c r="B42" t="s">
        <v>95</v>
      </c>
      <c r="C42" t="s">
        <v>12</v>
      </c>
      <c r="D42" t="s">
        <v>13</v>
      </c>
      <c r="E42" t="s">
        <v>14</v>
      </c>
      <c r="F42">
        <v>19</v>
      </c>
      <c r="G42">
        <v>3</v>
      </c>
      <c r="H42">
        <v>92</v>
      </c>
      <c r="I42">
        <v>49</v>
      </c>
      <c r="J42">
        <v>9.6999999999999993</v>
      </c>
    </row>
    <row r="43" spans="1:10" x14ac:dyDescent="0.3">
      <c r="A43" t="s">
        <v>96</v>
      </c>
      <c r="B43" t="s">
        <v>97</v>
      </c>
      <c r="C43" t="s">
        <v>12</v>
      </c>
      <c r="D43" t="s">
        <v>38</v>
      </c>
      <c r="E43" t="s">
        <v>14</v>
      </c>
      <c r="F43">
        <v>20</v>
      </c>
      <c r="G43">
        <v>6</v>
      </c>
      <c r="H43">
        <v>72</v>
      </c>
      <c r="I43">
        <v>91</v>
      </c>
      <c r="J43">
        <v>9.51</v>
      </c>
    </row>
    <row r="44" spans="1:10" x14ac:dyDescent="0.3">
      <c r="A44" t="s">
        <v>98</v>
      </c>
      <c r="B44" t="s">
        <v>99</v>
      </c>
      <c r="C44" t="s">
        <v>12</v>
      </c>
      <c r="D44" t="s">
        <v>17</v>
      </c>
      <c r="E44" t="s">
        <v>14</v>
      </c>
      <c r="F44">
        <v>21</v>
      </c>
      <c r="G44">
        <v>3</v>
      </c>
      <c r="H44">
        <v>90</v>
      </c>
      <c r="I44">
        <v>89</v>
      </c>
      <c r="J44">
        <v>7.15</v>
      </c>
    </row>
    <row r="45" spans="1:10" x14ac:dyDescent="0.3">
      <c r="A45" t="s">
        <v>100</v>
      </c>
      <c r="B45" t="s">
        <v>101</v>
      </c>
      <c r="C45" t="s">
        <v>12</v>
      </c>
      <c r="D45" t="s">
        <v>13</v>
      </c>
      <c r="E45" t="s">
        <v>14</v>
      </c>
      <c r="F45">
        <v>21</v>
      </c>
      <c r="G45">
        <v>6</v>
      </c>
      <c r="H45">
        <v>89</v>
      </c>
      <c r="I45">
        <v>88</v>
      </c>
      <c r="J45">
        <v>8.92</v>
      </c>
    </row>
    <row r="46" spans="1:10" x14ac:dyDescent="0.3">
      <c r="A46" t="s">
        <v>102</v>
      </c>
      <c r="B46" t="s">
        <v>103</v>
      </c>
      <c r="C46" t="s">
        <v>12</v>
      </c>
      <c r="D46" t="s">
        <v>17</v>
      </c>
      <c r="E46" t="s">
        <v>14</v>
      </c>
      <c r="F46">
        <v>20</v>
      </c>
      <c r="G46">
        <v>4</v>
      </c>
      <c r="H46">
        <v>100</v>
      </c>
      <c r="I46">
        <v>98</v>
      </c>
      <c r="J46">
        <v>6</v>
      </c>
    </row>
    <row r="47" spans="1:10" x14ac:dyDescent="0.3">
      <c r="A47" t="s">
        <v>104</v>
      </c>
      <c r="B47" t="s">
        <v>105</v>
      </c>
      <c r="C47" t="s">
        <v>20</v>
      </c>
      <c r="D47" t="s">
        <v>17</v>
      </c>
      <c r="E47" t="s">
        <v>14</v>
      </c>
      <c r="F47">
        <v>21</v>
      </c>
      <c r="G47">
        <v>5</v>
      </c>
      <c r="H47">
        <v>85</v>
      </c>
      <c r="I47">
        <v>74</v>
      </c>
      <c r="J47">
        <v>7.72</v>
      </c>
    </row>
    <row r="48" spans="1:10" x14ac:dyDescent="0.3">
      <c r="A48" t="s">
        <v>106</v>
      </c>
      <c r="B48" t="s">
        <v>107</v>
      </c>
      <c r="C48" t="s">
        <v>20</v>
      </c>
      <c r="D48" t="s">
        <v>38</v>
      </c>
      <c r="E48" t="s">
        <v>14</v>
      </c>
      <c r="F48">
        <v>21</v>
      </c>
      <c r="G48">
        <v>6</v>
      </c>
      <c r="H48">
        <v>75</v>
      </c>
      <c r="I48">
        <v>87</v>
      </c>
      <c r="J48">
        <v>6.33</v>
      </c>
    </row>
    <row r="49" spans="1:15" x14ac:dyDescent="0.3">
      <c r="A49" t="s">
        <v>108</v>
      </c>
      <c r="B49" t="s">
        <v>109</v>
      </c>
      <c r="C49" t="s">
        <v>20</v>
      </c>
      <c r="D49" t="s">
        <v>38</v>
      </c>
      <c r="E49" t="s">
        <v>14</v>
      </c>
      <c r="F49">
        <v>20</v>
      </c>
      <c r="G49">
        <v>1</v>
      </c>
      <c r="H49">
        <v>80</v>
      </c>
      <c r="I49">
        <v>88</v>
      </c>
      <c r="J49">
        <v>7.21</v>
      </c>
      <c r="O49" t="s">
        <v>224</v>
      </c>
    </row>
    <row r="50" spans="1:15" x14ac:dyDescent="0.3">
      <c r="A50" t="s">
        <v>110</v>
      </c>
      <c r="B50" t="s">
        <v>111</v>
      </c>
      <c r="C50" t="s">
        <v>12</v>
      </c>
      <c r="D50" t="s">
        <v>13</v>
      </c>
      <c r="E50" t="s">
        <v>14</v>
      </c>
      <c r="F50">
        <v>18</v>
      </c>
      <c r="G50">
        <v>1</v>
      </c>
      <c r="H50">
        <v>80</v>
      </c>
      <c r="I50">
        <v>75</v>
      </c>
      <c r="J50">
        <v>8.3800000000000008</v>
      </c>
    </row>
    <row r="51" spans="1:15" x14ac:dyDescent="0.3">
      <c r="A51" t="s">
        <v>112</v>
      </c>
      <c r="B51" t="s">
        <v>113</v>
      </c>
      <c r="C51" t="s">
        <v>12</v>
      </c>
      <c r="D51" t="s">
        <v>17</v>
      </c>
      <c r="E51" t="s">
        <v>14</v>
      </c>
      <c r="F51">
        <v>21</v>
      </c>
      <c r="G51">
        <v>6</v>
      </c>
      <c r="H51">
        <v>77</v>
      </c>
      <c r="I51">
        <v>90</v>
      </c>
      <c r="J51">
        <v>8.7200000000000006</v>
      </c>
    </row>
    <row r="52" spans="1:15" x14ac:dyDescent="0.3">
      <c r="A52" t="s">
        <v>114</v>
      </c>
      <c r="B52" t="s">
        <v>115</v>
      </c>
      <c r="C52" t="s">
        <v>20</v>
      </c>
      <c r="D52" t="s">
        <v>31</v>
      </c>
      <c r="E52" t="s">
        <v>14</v>
      </c>
      <c r="F52">
        <v>19</v>
      </c>
      <c r="G52">
        <v>2</v>
      </c>
      <c r="H52">
        <v>65</v>
      </c>
      <c r="I52">
        <v>93</v>
      </c>
      <c r="J52">
        <v>9.36</v>
      </c>
    </row>
    <row r="53" spans="1:15" x14ac:dyDescent="0.3">
      <c r="A53" t="s">
        <v>116</v>
      </c>
      <c r="B53" t="s">
        <v>117</v>
      </c>
      <c r="C53" t="s">
        <v>12</v>
      </c>
      <c r="D53" t="s">
        <v>13</v>
      </c>
      <c r="E53" t="s">
        <v>14</v>
      </c>
      <c r="F53">
        <v>21</v>
      </c>
      <c r="G53">
        <v>2</v>
      </c>
      <c r="H53">
        <v>76</v>
      </c>
      <c r="I53">
        <v>96</v>
      </c>
      <c r="J53">
        <v>9.74</v>
      </c>
    </row>
    <row r="54" spans="1:15" x14ac:dyDescent="0.3">
      <c r="A54" t="s">
        <v>118</v>
      </c>
      <c r="B54" t="s">
        <v>119</v>
      </c>
      <c r="C54" t="s">
        <v>12</v>
      </c>
      <c r="D54" t="s">
        <v>38</v>
      </c>
      <c r="E54" t="s">
        <v>14</v>
      </c>
      <c r="F54">
        <v>18</v>
      </c>
      <c r="G54">
        <v>5</v>
      </c>
      <c r="H54">
        <v>80</v>
      </c>
      <c r="I54">
        <v>52</v>
      </c>
      <c r="J54">
        <v>7.78</v>
      </c>
    </row>
    <row r="55" spans="1:15" x14ac:dyDescent="0.3">
      <c r="A55" t="s">
        <v>120</v>
      </c>
      <c r="B55" t="s">
        <v>121</v>
      </c>
      <c r="C55" t="s">
        <v>20</v>
      </c>
      <c r="D55" t="s">
        <v>38</v>
      </c>
      <c r="E55" t="s">
        <v>14</v>
      </c>
      <c r="F55">
        <v>20</v>
      </c>
      <c r="G55">
        <v>4</v>
      </c>
      <c r="H55">
        <v>97</v>
      </c>
      <c r="I55">
        <v>72</v>
      </c>
      <c r="J55">
        <v>9.24</v>
      </c>
    </row>
    <row r="56" spans="1:15" x14ac:dyDescent="0.3">
      <c r="A56" t="s">
        <v>122</v>
      </c>
      <c r="B56" t="s">
        <v>123</v>
      </c>
      <c r="C56" t="s">
        <v>12</v>
      </c>
      <c r="D56" t="s">
        <v>31</v>
      </c>
      <c r="E56" t="s">
        <v>14</v>
      </c>
      <c r="F56">
        <v>19</v>
      </c>
      <c r="G56">
        <v>6</v>
      </c>
      <c r="H56">
        <v>95</v>
      </c>
      <c r="I56">
        <v>73</v>
      </c>
      <c r="J56">
        <v>7.01</v>
      </c>
    </row>
    <row r="57" spans="1:15" x14ac:dyDescent="0.3">
      <c r="A57" t="s">
        <v>124</v>
      </c>
      <c r="B57" t="s">
        <v>125</v>
      </c>
      <c r="C57" t="s">
        <v>12</v>
      </c>
      <c r="D57" t="s">
        <v>38</v>
      </c>
      <c r="E57" t="s">
        <v>14</v>
      </c>
      <c r="F57">
        <v>20</v>
      </c>
      <c r="G57">
        <v>5</v>
      </c>
      <c r="H57">
        <v>96</v>
      </c>
      <c r="I57">
        <v>85</v>
      </c>
      <c r="J57">
        <v>6.93</v>
      </c>
    </row>
    <row r="58" spans="1:15" x14ac:dyDescent="0.3">
      <c r="A58" t="s">
        <v>126</v>
      </c>
      <c r="B58" t="s">
        <v>127</v>
      </c>
      <c r="C58" t="s">
        <v>20</v>
      </c>
      <c r="D58" t="s">
        <v>17</v>
      </c>
      <c r="E58" t="s">
        <v>14</v>
      </c>
      <c r="F58">
        <v>20</v>
      </c>
      <c r="G58">
        <v>2</v>
      </c>
      <c r="H58">
        <v>82</v>
      </c>
      <c r="I58">
        <v>66</v>
      </c>
      <c r="J58">
        <v>7.25</v>
      </c>
    </row>
    <row r="59" spans="1:15" x14ac:dyDescent="0.3">
      <c r="A59" t="s">
        <v>128</v>
      </c>
      <c r="B59" t="s">
        <v>35</v>
      </c>
      <c r="C59" t="s">
        <v>20</v>
      </c>
      <c r="D59" t="s">
        <v>38</v>
      </c>
      <c r="E59" t="s">
        <v>14</v>
      </c>
      <c r="F59">
        <v>19</v>
      </c>
      <c r="G59">
        <v>2</v>
      </c>
      <c r="H59">
        <v>79</v>
      </c>
      <c r="I59">
        <v>69</v>
      </c>
      <c r="J59">
        <v>8.7100000000000009</v>
      </c>
    </row>
    <row r="60" spans="1:15" x14ac:dyDescent="0.3">
      <c r="A60" t="s">
        <v>129</v>
      </c>
      <c r="B60" t="s">
        <v>130</v>
      </c>
      <c r="C60" t="s">
        <v>12</v>
      </c>
      <c r="D60" t="s">
        <v>31</v>
      </c>
      <c r="E60" t="s">
        <v>14</v>
      </c>
      <c r="F60">
        <v>21</v>
      </c>
      <c r="G60">
        <v>4</v>
      </c>
      <c r="H60">
        <v>86</v>
      </c>
      <c r="I60">
        <v>79</v>
      </c>
      <c r="J60">
        <v>7.82</v>
      </c>
    </row>
    <row r="61" spans="1:15" x14ac:dyDescent="0.3">
      <c r="A61" t="s">
        <v>131</v>
      </c>
      <c r="B61" t="s">
        <v>19</v>
      </c>
      <c r="C61" t="s">
        <v>20</v>
      </c>
      <c r="D61" t="s">
        <v>17</v>
      </c>
      <c r="E61" t="s">
        <v>14</v>
      </c>
      <c r="F61">
        <v>21</v>
      </c>
      <c r="G61">
        <v>4</v>
      </c>
      <c r="H61">
        <v>66</v>
      </c>
      <c r="I61">
        <v>93</v>
      </c>
      <c r="J61">
        <v>8.25</v>
      </c>
    </row>
    <row r="62" spans="1:15" x14ac:dyDescent="0.3">
      <c r="A62" t="s">
        <v>132</v>
      </c>
      <c r="B62" t="s">
        <v>133</v>
      </c>
      <c r="C62" t="s">
        <v>12</v>
      </c>
      <c r="D62" t="s">
        <v>13</v>
      </c>
      <c r="E62" t="s">
        <v>14</v>
      </c>
      <c r="F62">
        <v>20</v>
      </c>
      <c r="G62">
        <v>3</v>
      </c>
      <c r="H62">
        <v>89</v>
      </c>
      <c r="I62">
        <v>98</v>
      </c>
      <c r="J62">
        <v>7.63</v>
      </c>
    </row>
    <row r="63" spans="1:15" x14ac:dyDescent="0.3">
      <c r="A63" t="s">
        <v>134</v>
      </c>
      <c r="B63" t="s">
        <v>80</v>
      </c>
      <c r="C63" t="s">
        <v>12</v>
      </c>
      <c r="D63" t="s">
        <v>31</v>
      </c>
      <c r="E63" t="s">
        <v>14</v>
      </c>
      <c r="F63">
        <v>19</v>
      </c>
      <c r="G63">
        <v>4</v>
      </c>
      <c r="H63">
        <v>79</v>
      </c>
      <c r="I63">
        <v>62</v>
      </c>
      <c r="J63">
        <v>7.7</v>
      </c>
    </row>
    <row r="64" spans="1:15" x14ac:dyDescent="0.3">
      <c r="A64" t="s">
        <v>135</v>
      </c>
      <c r="B64" t="s">
        <v>136</v>
      </c>
      <c r="C64" t="s">
        <v>12</v>
      </c>
      <c r="D64" t="s">
        <v>13</v>
      </c>
      <c r="E64" t="s">
        <v>14</v>
      </c>
      <c r="F64">
        <v>20</v>
      </c>
      <c r="G64">
        <v>6</v>
      </c>
      <c r="H64">
        <v>90</v>
      </c>
      <c r="I64">
        <v>91</v>
      </c>
      <c r="J64">
        <v>6.64</v>
      </c>
    </row>
    <row r="65" spans="1:10" x14ac:dyDescent="0.3">
      <c r="A65" t="s">
        <v>137</v>
      </c>
      <c r="B65" t="s">
        <v>138</v>
      </c>
      <c r="C65" t="s">
        <v>20</v>
      </c>
      <c r="D65" t="s">
        <v>31</v>
      </c>
      <c r="E65" t="s">
        <v>14</v>
      </c>
      <c r="F65">
        <v>18</v>
      </c>
      <c r="G65">
        <v>4</v>
      </c>
      <c r="H65">
        <v>66</v>
      </c>
      <c r="I65">
        <v>50</v>
      </c>
      <c r="J65">
        <v>8.51</v>
      </c>
    </row>
    <row r="66" spans="1:10" x14ac:dyDescent="0.3">
      <c r="A66" t="s">
        <v>139</v>
      </c>
      <c r="B66" t="s">
        <v>140</v>
      </c>
      <c r="C66" t="s">
        <v>20</v>
      </c>
      <c r="D66" t="s">
        <v>13</v>
      </c>
      <c r="E66" t="s">
        <v>14</v>
      </c>
      <c r="F66">
        <v>21</v>
      </c>
      <c r="G66">
        <v>2</v>
      </c>
      <c r="H66">
        <v>68</v>
      </c>
      <c r="I66">
        <v>61</v>
      </c>
      <c r="J66">
        <v>7.48</v>
      </c>
    </row>
    <row r="67" spans="1:10" x14ac:dyDescent="0.3">
      <c r="A67" t="s">
        <v>141</v>
      </c>
      <c r="B67" t="s">
        <v>142</v>
      </c>
      <c r="C67" t="s">
        <v>12</v>
      </c>
      <c r="D67" t="s">
        <v>31</v>
      </c>
      <c r="E67" t="s">
        <v>14</v>
      </c>
      <c r="F67">
        <v>20</v>
      </c>
      <c r="G67">
        <v>3</v>
      </c>
      <c r="H67">
        <v>89</v>
      </c>
      <c r="I67">
        <v>62</v>
      </c>
      <c r="J67">
        <v>8.93</v>
      </c>
    </row>
    <row r="68" spans="1:10" x14ac:dyDescent="0.3">
      <c r="A68" t="s">
        <v>143</v>
      </c>
      <c r="B68" t="s">
        <v>144</v>
      </c>
      <c r="C68" t="s">
        <v>20</v>
      </c>
      <c r="D68" t="s">
        <v>31</v>
      </c>
      <c r="E68" t="s">
        <v>14</v>
      </c>
      <c r="F68">
        <v>18</v>
      </c>
      <c r="G68">
        <v>4</v>
      </c>
      <c r="H68">
        <v>66</v>
      </c>
      <c r="I68">
        <v>92</v>
      </c>
      <c r="J68">
        <v>8.1</v>
      </c>
    </row>
    <row r="69" spans="1:10" x14ac:dyDescent="0.3">
      <c r="A69" t="s">
        <v>145</v>
      </c>
      <c r="B69" t="s">
        <v>146</v>
      </c>
      <c r="C69" t="s">
        <v>12</v>
      </c>
      <c r="D69" t="s">
        <v>17</v>
      </c>
      <c r="E69" t="s">
        <v>14</v>
      </c>
      <c r="F69">
        <v>18</v>
      </c>
      <c r="G69">
        <v>6</v>
      </c>
      <c r="H69">
        <v>67</v>
      </c>
      <c r="I69">
        <v>93</v>
      </c>
      <c r="J69">
        <v>6.12</v>
      </c>
    </row>
    <row r="70" spans="1:10" x14ac:dyDescent="0.3">
      <c r="A70" t="s">
        <v>147</v>
      </c>
      <c r="B70" t="s">
        <v>148</v>
      </c>
      <c r="C70" t="s">
        <v>20</v>
      </c>
      <c r="D70" t="s">
        <v>38</v>
      </c>
      <c r="E70" t="s">
        <v>14</v>
      </c>
      <c r="F70">
        <v>18</v>
      </c>
      <c r="G70">
        <v>5</v>
      </c>
      <c r="H70">
        <v>74</v>
      </c>
      <c r="I70">
        <v>60</v>
      </c>
      <c r="J70">
        <v>6.49</v>
      </c>
    </row>
    <row r="71" spans="1:10" x14ac:dyDescent="0.3">
      <c r="A71" t="s">
        <v>149</v>
      </c>
      <c r="B71" t="s">
        <v>150</v>
      </c>
      <c r="C71" t="s">
        <v>12</v>
      </c>
      <c r="D71" t="s">
        <v>17</v>
      </c>
      <c r="E71" t="s">
        <v>14</v>
      </c>
      <c r="F71">
        <v>19</v>
      </c>
      <c r="G71">
        <v>4</v>
      </c>
      <c r="H71">
        <v>81</v>
      </c>
      <c r="I71">
        <v>94</v>
      </c>
      <c r="J71">
        <v>7.44</v>
      </c>
    </row>
    <row r="72" spans="1:10" x14ac:dyDescent="0.3">
      <c r="A72" t="s">
        <v>151</v>
      </c>
      <c r="B72" t="s">
        <v>152</v>
      </c>
      <c r="C72" t="s">
        <v>12</v>
      </c>
      <c r="D72" t="s">
        <v>17</v>
      </c>
      <c r="E72" t="s">
        <v>14</v>
      </c>
      <c r="F72">
        <v>18</v>
      </c>
      <c r="G72">
        <v>2</v>
      </c>
      <c r="H72">
        <v>84</v>
      </c>
      <c r="I72">
        <v>51</v>
      </c>
      <c r="J72">
        <v>8.26</v>
      </c>
    </row>
    <row r="73" spans="1:10" x14ac:dyDescent="0.3">
      <c r="A73" t="s">
        <v>153</v>
      </c>
      <c r="B73" t="s">
        <v>154</v>
      </c>
      <c r="C73" t="s">
        <v>20</v>
      </c>
      <c r="D73" t="s">
        <v>17</v>
      </c>
      <c r="E73" t="s">
        <v>14</v>
      </c>
      <c r="F73">
        <v>21</v>
      </c>
      <c r="G73">
        <v>4</v>
      </c>
      <c r="H73">
        <v>77</v>
      </c>
      <c r="I73">
        <v>49</v>
      </c>
      <c r="J73">
        <v>8.31</v>
      </c>
    </row>
    <row r="74" spans="1:10" x14ac:dyDescent="0.3">
      <c r="A74" t="s">
        <v>155</v>
      </c>
      <c r="B74" t="s">
        <v>156</v>
      </c>
      <c r="C74" t="s">
        <v>20</v>
      </c>
      <c r="D74" t="s">
        <v>17</v>
      </c>
      <c r="E74" t="s">
        <v>14</v>
      </c>
      <c r="F74">
        <v>20</v>
      </c>
      <c r="G74">
        <v>6</v>
      </c>
      <c r="H74">
        <v>72</v>
      </c>
      <c r="I74">
        <v>95</v>
      </c>
      <c r="J74">
        <v>9.84</v>
      </c>
    </row>
    <row r="75" spans="1:10" x14ac:dyDescent="0.3">
      <c r="A75" t="s">
        <v>157</v>
      </c>
      <c r="B75" t="s">
        <v>158</v>
      </c>
      <c r="C75" t="s">
        <v>20</v>
      </c>
      <c r="D75" t="s">
        <v>17</v>
      </c>
      <c r="E75" t="s">
        <v>14</v>
      </c>
      <c r="F75">
        <v>21</v>
      </c>
      <c r="G75">
        <v>6</v>
      </c>
      <c r="H75">
        <v>88</v>
      </c>
      <c r="I75">
        <v>49</v>
      </c>
      <c r="J75">
        <v>7.97</v>
      </c>
    </row>
    <row r="76" spans="1:10" x14ac:dyDescent="0.3">
      <c r="A76" t="s">
        <v>159</v>
      </c>
      <c r="B76" t="s">
        <v>160</v>
      </c>
      <c r="C76" t="s">
        <v>20</v>
      </c>
      <c r="D76" t="s">
        <v>38</v>
      </c>
      <c r="E76" t="s">
        <v>14</v>
      </c>
      <c r="F76">
        <v>21</v>
      </c>
      <c r="G76">
        <v>4</v>
      </c>
      <c r="H76">
        <v>71</v>
      </c>
      <c r="I76">
        <v>72</v>
      </c>
      <c r="J76">
        <v>9.75</v>
      </c>
    </row>
    <row r="77" spans="1:10" x14ac:dyDescent="0.3">
      <c r="A77" t="s">
        <v>161</v>
      </c>
      <c r="B77" t="s">
        <v>121</v>
      </c>
      <c r="C77" t="s">
        <v>20</v>
      </c>
      <c r="D77" t="s">
        <v>13</v>
      </c>
      <c r="E77" t="s">
        <v>14</v>
      </c>
      <c r="F77">
        <v>19</v>
      </c>
      <c r="G77">
        <v>4</v>
      </c>
      <c r="H77">
        <v>76</v>
      </c>
      <c r="I77">
        <v>91</v>
      </c>
      <c r="J77">
        <v>8.0299999999999994</v>
      </c>
    </row>
    <row r="78" spans="1:10" x14ac:dyDescent="0.3">
      <c r="A78" t="s">
        <v>162</v>
      </c>
      <c r="B78" t="s">
        <v>163</v>
      </c>
      <c r="C78" t="s">
        <v>12</v>
      </c>
      <c r="D78" t="s">
        <v>38</v>
      </c>
      <c r="E78" t="s">
        <v>14</v>
      </c>
      <c r="F78">
        <v>21</v>
      </c>
      <c r="G78">
        <v>4</v>
      </c>
      <c r="H78">
        <v>92</v>
      </c>
      <c r="I78">
        <v>97</v>
      </c>
      <c r="J78">
        <v>8.85</v>
      </c>
    </row>
    <row r="79" spans="1:10" x14ac:dyDescent="0.3">
      <c r="A79" t="s">
        <v>164</v>
      </c>
      <c r="B79" t="s">
        <v>165</v>
      </c>
      <c r="C79" t="s">
        <v>20</v>
      </c>
      <c r="D79" t="s">
        <v>17</v>
      </c>
      <c r="E79" t="s">
        <v>14</v>
      </c>
      <c r="F79">
        <v>19</v>
      </c>
      <c r="G79">
        <v>1</v>
      </c>
      <c r="H79">
        <v>82</v>
      </c>
      <c r="I79">
        <v>73</v>
      </c>
      <c r="J79">
        <v>6.95</v>
      </c>
    </row>
    <row r="80" spans="1:10" x14ac:dyDescent="0.3">
      <c r="A80" t="s">
        <v>166</v>
      </c>
      <c r="B80" t="s">
        <v>167</v>
      </c>
      <c r="C80" t="s">
        <v>20</v>
      </c>
      <c r="D80" t="s">
        <v>31</v>
      </c>
      <c r="E80" t="s">
        <v>14</v>
      </c>
      <c r="F80">
        <v>21</v>
      </c>
      <c r="G80">
        <v>3</v>
      </c>
      <c r="H80">
        <v>66</v>
      </c>
      <c r="I80">
        <v>76</v>
      </c>
      <c r="J80">
        <v>9.32</v>
      </c>
    </row>
    <row r="81" spans="1:10" x14ac:dyDescent="0.3">
      <c r="A81" t="s">
        <v>168</v>
      </c>
      <c r="B81" t="s">
        <v>82</v>
      </c>
      <c r="C81" t="s">
        <v>20</v>
      </c>
      <c r="D81" t="s">
        <v>31</v>
      </c>
      <c r="E81" t="s">
        <v>14</v>
      </c>
      <c r="F81">
        <v>19</v>
      </c>
      <c r="G81">
        <v>3</v>
      </c>
      <c r="H81">
        <v>81</v>
      </c>
      <c r="I81">
        <v>66</v>
      </c>
      <c r="J81">
        <v>7.09</v>
      </c>
    </row>
    <row r="82" spans="1:10" x14ac:dyDescent="0.3">
      <c r="A82" t="s">
        <v>169</v>
      </c>
      <c r="B82" t="s">
        <v>170</v>
      </c>
      <c r="C82" t="s">
        <v>20</v>
      </c>
      <c r="D82" t="s">
        <v>38</v>
      </c>
      <c r="E82" t="s">
        <v>14</v>
      </c>
      <c r="F82">
        <v>20</v>
      </c>
      <c r="G82">
        <v>5</v>
      </c>
      <c r="H82">
        <v>65</v>
      </c>
      <c r="I82">
        <v>78</v>
      </c>
      <c r="J82">
        <v>9.6999999999999993</v>
      </c>
    </row>
    <row r="83" spans="1:10" x14ac:dyDescent="0.3">
      <c r="A83" t="s">
        <v>171</v>
      </c>
      <c r="B83" t="s">
        <v>172</v>
      </c>
      <c r="C83" t="s">
        <v>12</v>
      </c>
      <c r="D83" t="s">
        <v>31</v>
      </c>
      <c r="E83" t="s">
        <v>14</v>
      </c>
      <c r="F83">
        <v>21</v>
      </c>
      <c r="G83">
        <v>4</v>
      </c>
      <c r="H83">
        <v>100</v>
      </c>
      <c r="I83">
        <v>93</v>
      </c>
      <c r="J83">
        <v>6.94</v>
      </c>
    </row>
    <row r="84" spans="1:10" x14ac:dyDescent="0.3">
      <c r="A84" t="s">
        <v>173</v>
      </c>
      <c r="B84" t="s">
        <v>174</v>
      </c>
      <c r="C84" t="s">
        <v>12</v>
      </c>
      <c r="D84" t="s">
        <v>13</v>
      </c>
      <c r="E84" t="s">
        <v>14</v>
      </c>
      <c r="F84">
        <v>21</v>
      </c>
      <c r="G84">
        <v>4</v>
      </c>
      <c r="H84">
        <v>66</v>
      </c>
      <c r="I84">
        <v>50</v>
      </c>
      <c r="J84">
        <v>7.15</v>
      </c>
    </row>
    <row r="85" spans="1:10" x14ac:dyDescent="0.3">
      <c r="A85" t="s">
        <v>175</v>
      </c>
      <c r="B85" t="s">
        <v>176</v>
      </c>
      <c r="C85" t="s">
        <v>20</v>
      </c>
      <c r="D85" t="s">
        <v>38</v>
      </c>
      <c r="E85" t="s">
        <v>14</v>
      </c>
      <c r="F85">
        <v>19</v>
      </c>
      <c r="G85">
        <v>3</v>
      </c>
      <c r="H85">
        <v>88</v>
      </c>
      <c r="I85">
        <v>75</v>
      </c>
      <c r="J85">
        <v>8.16</v>
      </c>
    </row>
    <row r="86" spans="1:10" x14ac:dyDescent="0.3">
      <c r="A86" t="s">
        <v>177</v>
      </c>
      <c r="B86" t="s">
        <v>178</v>
      </c>
      <c r="C86" t="s">
        <v>20</v>
      </c>
      <c r="D86" t="s">
        <v>13</v>
      </c>
      <c r="E86" t="s">
        <v>14</v>
      </c>
      <c r="F86">
        <v>20</v>
      </c>
      <c r="G86">
        <v>3</v>
      </c>
      <c r="H86">
        <v>94</v>
      </c>
      <c r="I86">
        <v>62</v>
      </c>
      <c r="J86">
        <v>7.2</v>
      </c>
    </row>
    <row r="87" spans="1:10" x14ac:dyDescent="0.3">
      <c r="A87" t="s">
        <v>179</v>
      </c>
      <c r="B87" t="s">
        <v>180</v>
      </c>
      <c r="C87" t="s">
        <v>12</v>
      </c>
      <c r="D87" t="s">
        <v>13</v>
      </c>
      <c r="E87" t="s">
        <v>14</v>
      </c>
      <c r="F87">
        <v>19</v>
      </c>
      <c r="G87">
        <v>3</v>
      </c>
      <c r="H87">
        <v>72</v>
      </c>
      <c r="I87">
        <v>92</v>
      </c>
      <c r="J87">
        <v>8.09</v>
      </c>
    </row>
    <row r="88" spans="1:10" x14ac:dyDescent="0.3">
      <c r="A88" t="s">
        <v>181</v>
      </c>
      <c r="B88" t="s">
        <v>182</v>
      </c>
      <c r="C88" t="s">
        <v>20</v>
      </c>
      <c r="D88" t="s">
        <v>31</v>
      </c>
      <c r="E88" t="s">
        <v>14</v>
      </c>
      <c r="F88">
        <v>19</v>
      </c>
      <c r="G88">
        <v>6</v>
      </c>
      <c r="H88">
        <v>95</v>
      </c>
      <c r="I88">
        <v>62</v>
      </c>
      <c r="J88">
        <v>8.83</v>
      </c>
    </row>
    <row r="89" spans="1:10" x14ac:dyDescent="0.3">
      <c r="A89" t="s">
        <v>183</v>
      </c>
      <c r="B89" t="s">
        <v>184</v>
      </c>
      <c r="C89" t="s">
        <v>20</v>
      </c>
      <c r="D89" t="s">
        <v>17</v>
      </c>
      <c r="E89" t="s">
        <v>14</v>
      </c>
      <c r="F89">
        <v>20</v>
      </c>
      <c r="G89">
        <v>1</v>
      </c>
      <c r="H89">
        <v>77</v>
      </c>
      <c r="I89">
        <v>63</v>
      </c>
      <c r="J89">
        <v>6.89</v>
      </c>
    </row>
    <row r="90" spans="1:10" x14ac:dyDescent="0.3">
      <c r="A90" t="s">
        <v>185</v>
      </c>
      <c r="B90" t="s">
        <v>33</v>
      </c>
      <c r="C90" t="s">
        <v>12</v>
      </c>
      <c r="D90" t="s">
        <v>31</v>
      </c>
      <c r="E90" t="s">
        <v>14</v>
      </c>
      <c r="F90">
        <v>18</v>
      </c>
      <c r="G90">
        <v>6</v>
      </c>
      <c r="H90">
        <v>99</v>
      </c>
      <c r="I90">
        <v>53</v>
      </c>
      <c r="J90">
        <v>7.07</v>
      </c>
    </row>
    <row r="91" spans="1:10" x14ac:dyDescent="0.3">
      <c r="A91" t="s">
        <v>186</v>
      </c>
      <c r="B91" t="s">
        <v>187</v>
      </c>
      <c r="C91" t="s">
        <v>20</v>
      </c>
      <c r="D91" t="s">
        <v>17</v>
      </c>
      <c r="E91" t="s">
        <v>14</v>
      </c>
      <c r="F91">
        <v>20</v>
      </c>
      <c r="G91">
        <v>6</v>
      </c>
      <c r="H91">
        <v>73</v>
      </c>
      <c r="I91">
        <v>85</v>
      </c>
      <c r="J91">
        <v>9.39</v>
      </c>
    </row>
    <row r="92" spans="1:10" x14ac:dyDescent="0.3">
      <c r="A92" t="s">
        <v>188</v>
      </c>
      <c r="B92" t="s">
        <v>189</v>
      </c>
      <c r="C92" t="s">
        <v>20</v>
      </c>
      <c r="D92" t="s">
        <v>13</v>
      </c>
      <c r="E92" t="s">
        <v>14</v>
      </c>
      <c r="F92">
        <v>18</v>
      </c>
      <c r="G92">
        <v>5</v>
      </c>
      <c r="H92">
        <v>83</v>
      </c>
      <c r="I92">
        <v>75</v>
      </c>
      <c r="J92">
        <v>7.87</v>
      </c>
    </row>
    <row r="93" spans="1:10" x14ac:dyDescent="0.3">
      <c r="A93" t="s">
        <v>190</v>
      </c>
      <c r="B93" t="s">
        <v>191</v>
      </c>
      <c r="C93" t="s">
        <v>12</v>
      </c>
      <c r="D93" t="s">
        <v>38</v>
      </c>
      <c r="E93" t="s">
        <v>14</v>
      </c>
      <c r="F93">
        <v>18</v>
      </c>
      <c r="G93">
        <v>3</v>
      </c>
      <c r="H93">
        <v>95</v>
      </c>
      <c r="I93">
        <v>52</v>
      </c>
      <c r="J93">
        <v>9.2100000000000009</v>
      </c>
    </row>
    <row r="94" spans="1:10" x14ac:dyDescent="0.3">
      <c r="A94" t="s">
        <v>192</v>
      </c>
      <c r="B94" t="s">
        <v>193</v>
      </c>
      <c r="C94" t="s">
        <v>12</v>
      </c>
      <c r="D94" t="s">
        <v>31</v>
      </c>
      <c r="E94" t="s">
        <v>14</v>
      </c>
      <c r="F94">
        <v>18</v>
      </c>
      <c r="G94">
        <v>5</v>
      </c>
      <c r="H94">
        <v>68</v>
      </c>
      <c r="I94">
        <v>54</v>
      </c>
      <c r="J94">
        <v>6.58</v>
      </c>
    </row>
    <row r="95" spans="1:10" x14ac:dyDescent="0.3">
      <c r="A95" t="s">
        <v>194</v>
      </c>
      <c r="B95" t="s">
        <v>195</v>
      </c>
      <c r="C95" t="s">
        <v>12</v>
      </c>
      <c r="D95" t="s">
        <v>13</v>
      </c>
      <c r="E95" t="s">
        <v>14</v>
      </c>
      <c r="F95">
        <v>18</v>
      </c>
      <c r="G95">
        <v>2</v>
      </c>
      <c r="H95">
        <v>72</v>
      </c>
      <c r="I95">
        <v>80</v>
      </c>
      <c r="J95">
        <v>8.98</v>
      </c>
    </row>
    <row r="96" spans="1:10" x14ac:dyDescent="0.3">
      <c r="A96" t="s">
        <v>196</v>
      </c>
      <c r="B96" t="s">
        <v>152</v>
      </c>
      <c r="C96" t="s">
        <v>12</v>
      </c>
      <c r="D96" t="s">
        <v>38</v>
      </c>
      <c r="E96" t="s">
        <v>14</v>
      </c>
      <c r="F96">
        <v>19</v>
      </c>
      <c r="G96">
        <v>5</v>
      </c>
      <c r="H96">
        <v>89</v>
      </c>
      <c r="I96">
        <v>73</v>
      </c>
      <c r="J96">
        <v>9.5399999999999991</v>
      </c>
    </row>
    <row r="97" spans="1:10" x14ac:dyDescent="0.3">
      <c r="A97" t="s">
        <v>197</v>
      </c>
      <c r="B97" t="s">
        <v>198</v>
      </c>
      <c r="C97" t="s">
        <v>12</v>
      </c>
      <c r="D97" t="s">
        <v>38</v>
      </c>
      <c r="E97" t="s">
        <v>14</v>
      </c>
      <c r="F97">
        <v>21</v>
      </c>
      <c r="G97">
        <v>3</v>
      </c>
      <c r="H97">
        <v>68</v>
      </c>
      <c r="I97">
        <v>84</v>
      </c>
      <c r="J97">
        <v>9.74</v>
      </c>
    </row>
    <row r="98" spans="1:10" x14ac:dyDescent="0.3">
      <c r="A98" t="s">
        <v>199</v>
      </c>
      <c r="B98" t="s">
        <v>200</v>
      </c>
      <c r="C98" t="s">
        <v>20</v>
      </c>
      <c r="D98" t="s">
        <v>31</v>
      </c>
      <c r="E98" t="s">
        <v>14</v>
      </c>
      <c r="F98">
        <v>19</v>
      </c>
      <c r="G98">
        <v>6</v>
      </c>
      <c r="H98">
        <v>78</v>
      </c>
      <c r="I98">
        <v>61</v>
      </c>
      <c r="J98">
        <v>8.58</v>
      </c>
    </row>
    <row r="99" spans="1:10" x14ac:dyDescent="0.3">
      <c r="A99" t="s">
        <v>201</v>
      </c>
      <c r="B99" t="s">
        <v>202</v>
      </c>
      <c r="C99" t="s">
        <v>12</v>
      </c>
      <c r="D99" t="s">
        <v>38</v>
      </c>
      <c r="E99" t="s">
        <v>14</v>
      </c>
      <c r="F99">
        <v>19</v>
      </c>
      <c r="G99">
        <v>5</v>
      </c>
      <c r="H99">
        <v>69</v>
      </c>
      <c r="I99">
        <v>55</v>
      </c>
      <c r="J99">
        <v>6.01</v>
      </c>
    </row>
    <row r="100" spans="1:10" x14ac:dyDescent="0.3">
      <c r="A100" t="s">
        <v>203</v>
      </c>
      <c r="B100" t="s">
        <v>204</v>
      </c>
      <c r="C100" t="s">
        <v>12</v>
      </c>
      <c r="D100" t="s">
        <v>13</v>
      </c>
      <c r="E100" t="s">
        <v>14</v>
      </c>
      <c r="F100">
        <v>21</v>
      </c>
      <c r="G100">
        <v>3</v>
      </c>
      <c r="H100">
        <v>67</v>
      </c>
      <c r="I100">
        <v>59</v>
      </c>
      <c r="J100">
        <v>7.12</v>
      </c>
    </row>
    <row r="101" spans="1:10" x14ac:dyDescent="0.3">
      <c r="A101" t="s">
        <v>205</v>
      </c>
      <c r="B101" t="s">
        <v>206</v>
      </c>
      <c r="C101" t="s">
        <v>20</v>
      </c>
      <c r="D101" t="s">
        <v>17</v>
      </c>
      <c r="E101" t="s">
        <v>14</v>
      </c>
      <c r="F101">
        <v>21</v>
      </c>
      <c r="G101">
        <v>1</v>
      </c>
      <c r="H101">
        <v>79</v>
      </c>
      <c r="I101">
        <v>61</v>
      </c>
      <c r="J101">
        <v>9.07</v>
      </c>
    </row>
    <row r="102" spans="1:10" x14ac:dyDescent="0.3">
      <c r="E102" t="s">
        <v>227</v>
      </c>
      <c r="F102">
        <f>AVERAGE(F2:F101)</f>
        <v>19.54</v>
      </c>
      <c r="G102">
        <f t="shared" ref="G102:J102" si="0">AVERAGE(G2:G101)</f>
        <v>3.68</v>
      </c>
      <c r="H102">
        <f t="shared" si="0"/>
        <v>80.900000000000006</v>
      </c>
      <c r="I102">
        <f t="shared" si="0"/>
        <v>73.010000000000005</v>
      </c>
      <c r="J102">
        <f t="shared" si="0"/>
        <v>7.9790000000000028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F4EE7-A623-47D4-8D41-F4D6127BA329}">
  <dimension ref="A1:O13"/>
  <sheetViews>
    <sheetView workbookViewId="0">
      <selection sqref="A1:J11"/>
    </sheetView>
  </sheetViews>
  <sheetFormatPr defaultRowHeight="14.4" x14ac:dyDescent="0.3"/>
  <cols>
    <col min="1" max="1" width="19" customWidth="1"/>
    <col min="2" max="2" width="15.77734375" customWidth="1"/>
    <col min="4" max="4" width="14.332031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5" x14ac:dyDescent="0.3">
      <c r="A2" t="s">
        <v>110</v>
      </c>
      <c r="B2" t="s">
        <v>111</v>
      </c>
      <c r="C2" t="s">
        <v>12</v>
      </c>
      <c r="D2" t="s">
        <v>13</v>
      </c>
      <c r="E2" t="s">
        <v>14</v>
      </c>
      <c r="F2">
        <v>18</v>
      </c>
      <c r="G2">
        <v>1</v>
      </c>
      <c r="H2">
        <v>80</v>
      </c>
      <c r="I2">
        <v>75</v>
      </c>
      <c r="J2">
        <v>8.3800000000000008</v>
      </c>
    </row>
    <row r="3" spans="1:15" x14ac:dyDescent="0.3">
      <c r="A3" t="s">
        <v>90</v>
      </c>
      <c r="B3" t="s">
        <v>64</v>
      </c>
      <c r="C3" t="s">
        <v>20</v>
      </c>
      <c r="D3" t="s">
        <v>13</v>
      </c>
      <c r="E3" t="s">
        <v>14</v>
      </c>
      <c r="F3">
        <v>18</v>
      </c>
      <c r="G3">
        <v>1</v>
      </c>
      <c r="H3">
        <v>81</v>
      </c>
      <c r="I3">
        <v>56</v>
      </c>
      <c r="J3">
        <v>8.26</v>
      </c>
    </row>
    <row r="4" spans="1:15" x14ac:dyDescent="0.3">
      <c r="A4" t="s">
        <v>47</v>
      </c>
      <c r="B4" t="s">
        <v>48</v>
      </c>
      <c r="C4" t="s">
        <v>12</v>
      </c>
      <c r="D4" t="s">
        <v>17</v>
      </c>
      <c r="E4" t="s">
        <v>14</v>
      </c>
      <c r="F4">
        <v>18</v>
      </c>
      <c r="G4">
        <v>5</v>
      </c>
      <c r="H4">
        <v>70</v>
      </c>
      <c r="I4">
        <v>56</v>
      </c>
      <c r="J4">
        <v>6.27</v>
      </c>
    </row>
    <row r="5" spans="1:15" x14ac:dyDescent="0.3">
      <c r="A5" t="s">
        <v>203</v>
      </c>
      <c r="B5" t="s">
        <v>204</v>
      </c>
      <c r="C5" t="s">
        <v>12</v>
      </c>
      <c r="D5" t="s">
        <v>13</v>
      </c>
      <c r="E5" t="s">
        <v>14</v>
      </c>
      <c r="F5">
        <v>21</v>
      </c>
      <c r="G5">
        <v>3</v>
      </c>
      <c r="H5">
        <v>67</v>
      </c>
      <c r="I5">
        <v>59</v>
      </c>
      <c r="J5">
        <v>7.12</v>
      </c>
    </row>
    <row r="6" spans="1:15" x14ac:dyDescent="0.3">
      <c r="A6" s="1" t="s">
        <v>177</v>
      </c>
      <c r="B6" s="1" t="s">
        <v>178</v>
      </c>
      <c r="C6" s="1" t="s">
        <v>20</v>
      </c>
      <c r="D6" s="1" t="s">
        <v>13</v>
      </c>
      <c r="E6" s="1" t="s">
        <v>14</v>
      </c>
      <c r="F6" s="1">
        <v>20</v>
      </c>
      <c r="G6" s="1">
        <v>3</v>
      </c>
      <c r="H6" s="1">
        <v>94</v>
      </c>
      <c r="I6" s="1">
        <v>62</v>
      </c>
      <c r="J6" s="1">
        <v>7.2</v>
      </c>
      <c r="K6" s="1"/>
      <c r="L6" s="1"/>
      <c r="M6" s="1"/>
      <c r="N6" s="1"/>
      <c r="O6" s="1"/>
    </row>
    <row r="7" spans="1:15" x14ac:dyDescent="0.3">
      <c r="A7" t="s">
        <v>141</v>
      </c>
      <c r="B7" t="s">
        <v>142</v>
      </c>
      <c r="C7" t="s">
        <v>12</v>
      </c>
      <c r="D7" t="s">
        <v>31</v>
      </c>
      <c r="E7" t="s">
        <v>14</v>
      </c>
      <c r="F7">
        <v>20</v>
      </c>
      <c r="G7">
        <v>3</v>
      </c>
      <c r="H7">
        <v>89</v>
      </c>
      <c r="I7">
        <v>62</v>
      </c>
      <c r="J7">
        <v>8.93</v>
      </c>
    </row>
    <row r="8" spans="1:15" x14ac:dyDescent="0.3">
      <c r="A8" t="s">
        <v>118</v>
      </c>
      <c r="B8" t="s">
        <v>119</v>
      </c>
      <c r="C8" t="s">
        <v>12</v>
      </c>
      <c r="D8" t="s">
        <v>38</v>
      </c>
      <c r="E8" t="s">
        <v>14</v>
      </c>
      <c r="F8">
        <v>18</v>
      </c>
      <c r="G8">
        <v>5</v>
      </c>
      <c r="H8">
        <v>80</v>
      </c>
      <c r="I8">
        <v>52</v>
      </c>
      <c r="J8">
        <v>7.78</v>
      </c>
    </row>
    <row r="9" spans="1:15" x14ac:dyDescent="0.3">
      <c r="A9" t="s">
        <v>10</v>
      </c>
      <c r="B9" t="s">
        <v>11</v>
      </c>
      <c r="C9" t="s">
        <v>12</v>
      </c>
      <c r="D9" t="s">
        <v>13</v>
      </c>
      <c r="E9" t="s">
        <v>14</v>
      </c>
      <c r="F9">
        <v>21</v>
      </c>
      <c r="G9">
        <v>1</v>
      </c>
      <c r="H9">
        <v>80</v>
      </c>
      <c r="I9">
        <v>59</v>
      </c>
      <c r="J9">
        <v>6.25</v>
      </c>
    </row>
    <row r="10" spans="1:15" x14ac:dyDescent="0.3">
      <c r="A10" t="s">
        <v>32</v>
      </c>
      <c r="B10" t="s">
        <v>33</v>
      </c>
      <c r="C10" t="s">
        <v>12</v>
      </c>
      <c r="D10" t="s">
        <v>17</v>
      </c>
      <c r="E10" t="s">
        <v>14</v>
      </c>
      <c r="F10">
        <v>21</v>
      </c>
      <c r="G10">
        <v>2</v>
      </c>
      <c r="H10">
        <v>69</v>
      </c>
      <c r="I10">
        <v>73</v>
      </c>
      <c r="J10">
        <v>9.15</v>
      </c>
    </row>
    <row r="11" spans="1:15" x14ac:dyDescent="0.3">
      <c r="A11" t="s">
        <v>91</v>
      </c>
      <c r="B11" t="s">
        <v>70</v>
      </c>
      <c r="C11" t="s">
        <v>20</v>
      </c>
      <c r="D11" t="s">
        <v>38</v>
      </c>
      <c r="E11" t="s">
        <v>14</v>
      </c>
      <c r="F11">
        <v>18</v>
      </c>
      <c r="G11">
        <v>5</v>
      </c>
      <c r="H11">
        <v>92</v>
      </c>
      <c r="I11">
        <v>67</v>
      </c>
      <c r="J11">
        <v>8.84</v>
      </c>
    </row>
    <row r="12" spans="1:15" x14ac:dyDescent="0.3">
      <c r="A12" t="s">
        <v>225</v>
      </c>
    </row>
    <row r="13" spans="1:15" x14ac:dyDescent="0.3">
      <c r="A13" t="e" cm="1" vm="1">
        <f t="array" aca="1" ref="A13" ca="1">_xlfn.TAKE(_xlfn.SORTBY(A2:J11,_xlfn.RANDARRAY(ROWS(A2:J11))), 3)</f>
        <v>#NAME?</v>
      </c>
      <c r="K13" t="s">
        <v>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DC5B1-03ED-4C00-82C5-6E3187194FEA}">
  <dimension ref="A1:J17"/>
  <sheetViews>
    <sheetView workbookViewId="0">
      <selection activeCell="A14" sqref="A14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110</v>
      </c>
      <c r="B2" t="s">
        <v>111</v>
      </c>
      <c r="C2" t="s">
        <v>12</v>
      </c>
      <c r="D2" t="s">
        <v>13</v>
      </c>
      <c r="E2" t="s">
        <v>14</v>
      </c>
      <c r="F2">
        <v>18</v>
      </c>
      <c r="G2">
        <v>1</v>
      </c>
      <c r="H2">
        <v>80</v>
      </c>
      <c r="I2">
        <v>75</v>
      </c>
      <c r="J2">
        <v>8.3800000000000008</v>
      </c>
    </row>
    <row r="3" spans="1:10" x14ac:dyDescent="0.3">
      <c r="A3" t="s">
        <v>90</v>
      </c>
      <c r="B3" t="s">
        <v>64</v>
      </c>
      <c r="C3" t="s">
        <v>20</v>
      </c>
      <c r="D3" t="s">
        <v>13</v>
      </c>
      <c r="E3" t="s">
        <v>14</v>
      </c>
      <c r="F3">
        <v>18</v>
      </c>
      <c r="G3">
        <v>1</v>
      </c>
      <c r="H3">
        <v>81</v>
      </c>
      <c r="I3">
        <v>56</v>
      </c>
      <c r="J3">
        <v>8.26</v>
      </c>
    </row>
    <row r="4" spans="1:10" x14ac:dyDescent="0.3">
      <c r="A4" t="s">
        <v>47</v>
      </c>
      <c r="B4" t="s">
        <v>48</v>
      </c>
      <c r="C4" t="s">
        <v>12</v>
      </c>
      <c r="D4" t="s">
        <v>17</v>
      </c>
      <c r="E4" t="s">
        <v>14</v>
      </c>
      <c r="F4">
        <v>18</v>
      </c>
      <c r="G4">
        <v>5</v>
      </c>
      <c r="H4">
        <v>70</v>
      </c>
      <c r="I4">
        <v>56</v>
      </c>
      <c r="J4">
        <v>6.27</v>
      </c>
    </row>
    <row r="5" spans="1:10" x14ac:dyDescent="0.3">
      <c r="A5" t="s">
        <v>203</v>
      </c>
      <c r="B5" t="s">
        <v>204</v>
      </c>
      <c r="C5" t="s">
        <v>12</v>
      </c>
      <c r="D5" t="s">
        <v>13</v>
      </c>
      <c r="E5" t="s">
        <v>14</v>
      </c>
      <c r="F5">
        <v>21</v>
      </c>
      <c r="G5">
        <v>3</v>
      </c>
      <c r="H5">
        <v>67</v>
      </c>
      <c r="I5">
        <v>59</v>
      </c>
      <c r="J5">
        <v>7.12</v>
      </c>
    </row>
    <row r="6" spans="1:10" x14ac:dyDescent="0.3">
      <c r="A6" s="1" t="s">
        <v>177</v>
      </c>
      <c r="B6" s="1" t="s">
        <v>178</v>
      </c>
      <c r="C6" s="1" t="s">
        <v>20</v>
      </c>
      <c r="D6" s="1" t="s">
        <v>13</v>
      </c>
      <c r="E6" s="1" t="s">
        <v>14</v>
      </c>
      <c r="F6" s="1">
        <v>20</v>
      </c>
      <c r="G6" s="1">
        <v>3</v>
      </c>
      <c r="H6" s="1">
        <v>94</v>
      </c>
      <c r="I6" s="1">
        <v>62</v>
      </c>
      <c r="J6" s="1">
        <v>7.2</v>
      </c>
    </row>
    <row r="7" spans="1:10" x14ac:dyDescent="0.3">
      <c r="A7" t="s">
        <v>141</v>
      </c>
      <c r="B7" t="s">
        <v>142</v>
      </c>
      <c r="C7" t="s">
        <v>12</v>
      </c>
      <c r="D7" t="s">
        <v>31</v>
      </c>
      <c r="E7" t="s">
        <v>14</v>
      </c>
      <c r="F7">
        <v>20</v>
      </c>
      <c r="G7">
        <v>3</v>
      </c>
      <c r="H7">
        <v>89</v>
      </c>
      <c r="I7">
        <v>62</v>
      </c>
      <c r="J7">
        <v>8.93</v>
      </c>
    </row>
    <row r="8" spans="1:10" x14ac:dyDescent="0.3">
      <c r="A8" t="s">
        <v>118</v>
      </c>
      <c r="B8" t="s">
        <v>119</v>
      </c>
      <c r="C8" t="s">
        <v>12</v>
      </c>
      <c r="D8" t="s">
        <v>38</v>
      </c>
      <c r="E8" t="s">
        <v>14</v>
      </c>
      <c r="F8">
        <v>18</v>
      </c>
      <c r="G8">
        <v>5</v>
      </c>
      <c r="H8">
        <v>80</v>
      </c>
      <c r="I8">
        <v>52</v>
      </c>
      <c r="J8">
        <v>7.78</v>
      </c>
    </row>
    <row r="9" spans="1:10" x14ac:dyDescent="0.3">
      <c r="A9" t="s">
        <v>10</v>
      </c>
      <c r="B9" t="s">
        <v>11</v>
      </c>
      <c r="C9" t="s">
        <v>12</v>
      </c>
      <c r="D9" t="s">
        <v>13</v>
      </c>
      <c r="E9" t="s">
        <v>14</v>
      </c>
      <c r="F9">
        <v>21</v>
      </c>
      <c r="G9">
        <v>1</v>
      </c>
      <c r="H9">
        <v>80</v>
      </c>
      <c r="I9">
        <v>59</v>
      </c>
      <c r="J9">
        <v>6.25</v>
      </c>
    </row>
    <row r="10" spans="1:10" x14ac:dyDescent="0.3">
      <c r="A10" t="s">
        <v>32</v>
      </c>
      <c r="B10" t="s">
        <v>33</v>
      </c>
      <c r="C10" t="s">
        <v>12</v>
      </c>
      <c r="D10" t="s">
        <v>17</v>
      </c>
      <c r="E10" t="s">
        <v>14</v>
      </c>
      <c r="F10">
        <v>21</v>
      </c>
      <c r="G10">
        <v>2</v>
      </c>
      <c r="H10">
        <v>69</v>
      </c>
      <c r="I10">
        <v>73</v>
      </c>
      <c r="J10">
        <v>9.15</v>
      </c>
    </row>
    <row r="11" spans="1:10" x14ac:dyDescent="0.3">
      <c r="A11" t="s">
        <v>91</v>
      </c>
      <c r="B11" t="s">
        <v>70</v>
      </c>
      <c r="C11" t="s">
        <v>20</v>
      </c>
      <c r="D11" t="s">
        <v>38</v>
      </c>
      <c r="E11" t="s">
        <v>14</v>
      </c>
      <c r="F11">
        <v>18</v>
      </c>
      <c r="G11">
        <v>5</v>
      </c>
      <c r="H11">
        <v>92</v>
      </c>
      <c r="I11">
        <v>67</v>
      </c>
      <c r="J11">
        <v>8.84</v>
      </c>
    </row>
    <row r="13" spans="1:10" x14ac:dyDescent="0.3">
      <c r="A13" t="str" cm="1">
        <f t="array" ref="A13:J17">_xlfn.CHOOSEROWS(A2:J11, _xlfn.SEQUENCE(ROUNDUP(ROWS(A2:J11)/2, 0), 1, 1, 2))</f>
        <v>S049</v>
      </c>
      <c r="B13" t="str">
        <v>Karan Patil</v>
      </c>
      <c r="C13" t="str">
        <v>Male</v>
      </c>
      <c r="D13" t="str">
        <v>BBA</v>
      </c>
      <c r="E13" t="str">
        <v>FY</v>
      </c>
      <c r="F13">
        <v>18</v>
      </c>
      <c r="G13">
        <v>1</v>
      </c>
      <c r="H13">
        <v>80</v>
      </c>
      <c r="I13">
        <v>75</v>
      </c>
      <c r="J13">
        <v>8.3800000000000008</v>
      </c>
    </row>
    <row r="14" spans="1:10" x14ac:dyDescent="0.3">
      <c r="A14" t="str">
        <v>S016</v>
      </c>
      <c r="B14" t="str">
        <v>Aman Patil</v>
      </c>
      <c r="C14" t="str">
        <v>Male</v>
      </c>
      <c r="D14" t="str">
        <v>Data Science</v>
      </c>
      <c r="E14" t="str">
        <v>FY</v>
      </c>
      <c r="F14">
        <v>18</v>
      </c>
      <c r="G14">
        <v>5</v>
      </c>
      <c r="H14">
        <v>70</v>
      </c>
      <c r="I14">
        <v>56</v>
      </c>
      <c r="J14">
        <v>6.27</v>
      </c>
    </row>
    <row r="15" spans="1:10" x14ac:dyDescent="0.3">
      <c r="A15" t="str">
        <v>S085</v>
      </c>
      <c r="B15" t="str">
        <v>Tanvi Kumar</v>
      </c>
      <c r="C15" t="str">
        <v>Female</v>
      </c>
      <c r="D15" t="str">
        <v>BBA</v>
      </c>
      <c r="E15" t="str">
        <v>FY</v>
      </c>
      <c r="F15">
        <v>20</v>
      </c>
      <c r="G15">
        <v>3</v>
      </c>
      <c r="H15">
        <v>94</v>
      </c>
      <c r="I15">
        <v>62</v>
      </c>
      <c r="J15">
        <v>7.2</v>
      </c>
    </row>
    <row r="16" spans="1:10" x14ac:dyDescent="0.3">
      <c r="A16" t="str">
        <v>S053</v>
      </c>
      <c r="B16" t="str">
        <v>Aman Kumar</v>
      </c>
      <c r="C16" t="str">
        <v>Male</v>
      </c>
      <c r="D16" t="str">
        <v>MCA</v>
      </c>
      <c r="E16" t="str">
        <v>FY</v>
      </c>
      <c r="F16">
        <v>18</v>
      </c>
      <c r="G16">
        <v>5</v>
      </c>
      <c r="H16">
        <v>80</v>
      </c>
      <c r="I16">
        <v>52</v>
      </c>
      <c r="J16">
        <v>7.78</v>
      </c>
    </row>
    <row r="17" spans="1:10" x14ac:dyDescent="0.3">
      <c r="A17" t="str">
        <v>S009</v>
      </c>
      <c r="B17" t="str">
        <v>Rahul Singh</v>
      </c>
      <c r="C17" t="str">
        <v>Male</v>
      </c>
      <c r="D17" t="str">
        <v>Data Science</v>
      </c>
      <c r="E17" t="str">
        <v>FY</v>
      </c>
      <c r="F17">
        <v>21</v>
      </c>
      <c r="G17">
        <v>2</v>
      </c>
      <c r="H17">
        <v>69</v>
      </c>
      <c r="I17">
        <v>73</v>
      </c>
      <c r="J17">
        <v>9.15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547F0-BE74-45F5-ACC6-CEED8606FE1E}">
  <dimension ref="A1:J13"/>
  <sheetViews>
    <sheetView tabSelected="1" zoomScale="103" workbookViewId="0">
      <selection sqref="A1:J1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110</v>
      </c>
      <c r="B2" t="s">
        <v>111</v>
      </c>
      <c r="C2" t="s">
        <v>12</v>
      </c>
      <c r="D2" t="s">
        <v>13</v>
      </c>
      <c r="E2" t="s">
        <v>14</v>
      </c>
      <c r="F2">
        <v>18</v>
      </c>
      <c r="G2">
        <v>1</v>
      </c>
      <c r="H2">
        <v>80</v>
      </c>
      <c r="I2">
        <v>75</v>
      </c>
      <c r="J2">
        <v>8.3800000000000008</v>
      </c>
    </row>
    <row r="3" spans="1:10" x14ac:dyDescent="0.3">
      <c r="A3" t="s">
        <v>90</v>
      </c>
      <c r="B3" t="s">
        <v>64</v>
      </c>
      <c r="C3" t="s">
        <v>20</v>
      </c>
      <c r="D3" t="s">
        <v>13</v>
      </c>
      <c r="E3" t="s">
        <v>14</v>
      </c>
      <c r="F3">
        <v>18</v>
      </c>
      <c r="G3">
        <v>1</v>
      </c>
      <c r="H3">
        <v>81</v>
      </c>
      <c r="I3">
        <v>56</v>
      </c>
      <c r="J3">
        <v>8.26</v>
      </c>
    </row>
    <row r="4" spans="1:10" x14ac:dyDescent="0.3">
      <c r="A4" t="s">
        <v>47</v>
      </c>
      <c r="B4" t="s">
        <v>48</v>
      </c>
      <c r="C4" t="s">
        <v>12</v>
      </c>
      <c r="D4" t="s">
        <v>17</v>
      </c>
      <c r="E4" t="s">
        <v>14</v>
      </c>
      <c r="F4">
        <v>18</v>
      </c>
      <c r="G4">
        <v>5</v>
      </c>
      <c r="H4">
        <v>70</v>
      </c>
      <c r="I4">
        <v>56</v>
      </c>
      <c r="J4">
        <v>6.27</v>
      </c>
    </row>
    <row r="5" spans="1:10" x14ac:dyDescent="0.3">
      <c r="A5" t="s">
        <v>203</v>
      </c>
      <c r="B5" t="s">
        <v>204</v>
      </c>
      <c r="C5" t="s">
        <v>12</v>
      </c>
      <c r="D5" t="s">
        <v>13</v>
      </c>
      <c r="E5" t="s">
        <v>14</v>
      </c>
      <c r="F5">
        <v>21</v>
      </c>
      <c r="G5">
        <v>3</v>
      </c>
      <c r="H5">
        <v>67</v>
      </c>
      <c r="I5">
        <v>59</v>
      </c>
      <c r="J5">
        <v>7.12</v>
      </c>
    </row>
    <row r="6" spans="1:10" x14ac:dyDescent="0.3">
      <c r="A6" s="1" t="s">
        <v>177</v>
      </c>
      <c r="B6" s="1" t="s">
        <v>178</v>
      </c>
      <c r="C6" s="1" t="s">
        <v>20</v>
      </c>
      <c r="D6" s="1" t="s">
        <v>13</v>
      </c>
      <c r="E6" s="1" t="s">
        <v>14</v>
      </c>
      <c r="F6" s="1">
        <v>20</v>
      </c>
      <c r="G6" s="1">
        <v>3</v>
      </c>
      <c r="H6" s="1">
        <v>94</v>
      </c>
      <c r="I6" s="1">
        <v>62</v>
      </c>
      <c r="J6" s="1">
        <v>7.2</v>
      </c>
    </row>
    <row r="7" spans="1:10" x14ac:dyDescent="0.3">
      <c r="A7" t="s">
        <v>141</v>
      </c>
      <c r="B7" t="s">
        <v>142</v>
      </c>
      <c r="C7" t="s">
        <v>12</v>
      </c>
      <c r="D7" t="s">
        <v>31</v>
      </c>
      <c r="E7" t="s">
        <v>14</v>
      </c>
      <c r="F7">
        <v>20</v>
      </c>
      <c r="G7">
        <v>3</v>
      </c>
      <c r="H7">
        <v>89</v>
      </c>
      <c r="I7">
        <v>62</v>
      </c>
      <c r="J7">
        <v>8.93</v>
      </c>
    </row>
    <row r="8" spans="1:10" x14ac:dyDescent="0.3">
      <c r="A8" t="s">
        <v>118</v>
      </c>
      <c r="B8" t="s">
        <v>119</v>
      </c>
      <c r="C8" t="s">
        <v>12</v>
      </c>
      <c r="D8" t="s">
        <v>38</v>
      </c>
      <c r="E8" t="s">
        <v>14</v>
      </c>
      <c r="F8">
        <v>18</v>
      </c>
      <c r="G8">
        <v>5</v>
      </c>
      <c r="H8">
        <v>80</v>
      </c>
      <c r="I8">
        <v>52</v>
      </c>
      <c r="J8">
        <v>7.78</v>
      </c>
    </row>
    <row r="9" spans="1:10" x14ac:dyDescent="0.3">
      <c r="A9" t="s">
        <v>10</v>
      </c>
      <c r="B9" t="s">
        <v>11</v>
      </c>
      <c r="C9" t="s">
        <v>12</v>
      </c>
      <c r="D9" t="s">
        <v>13</v>
      </c>
      <c r="E9" t="s">
        <v>14</v>
      </c>
      <c r="F9">
        <v>21</v>
      </c>
      <c r="G9">
        <v>1</v>
      </c>
      <c r="H9">
        <v>80</v>
      </c>
      <c r="I9">
        <v>59</v>
      </c>
      <c r="J9">
        <v>6.25</v>
      </c>
    </row>
    <row r="10" spans="1:10" x14ac:dyDescent="0.3">
      <c r="A10" t="s">
        <v>32</v>
      </c>
      <c r="B10" t="s">
        <v>33</v>
      </c>
      <c r="C10" t="s">
        <v>12</v>
      </c>
      <c r="D10" t="s">
        <v>17</v>
      </c>
      <c r="E10" t="s">
        <v>14</v>
      </c>
      <c r="F10">
        <v>21</v>
      </c>
      <c r="G10">
        <v>2</v>
      </c>
      <c r="H10">
        <v>69</v>
      </c>
      <c r="I10">
        <v>73</v>
      </c>
      <c r="J10">
        <v>9.15</v>
      </c>
    </row>
    <row r="11" spans="1:10" x14ac:dyDescent="0.3">
      <c r="A11" t="s">
        <v>91</v>
      </c>
      <c r="B11" t="s">
        <v>70</v>
      </c>
      <c r="C11" t="s">
        <v>20</v>
      </c>
      <c r="D11" t="s">
        <v>38</v>
      </c>
      <c r="E11" t="s">
        <v>14</v>
      </c>
      <c r="F11">
        <v>18</v>
      </c>
      <c r="G11">
        <v>5</v>
      </c>
      <c r="H11">
        <v>92</v>
      </c>
      <c r="I11">
        <v>67</v>
      </c>
      <c r="J11">
        <v>8.84</v>
      </c>
    </row>
    <row r="13" spans="1:10" x14ac:dyDescent="0.3">
      <c r="A13" t="e" cm="1">
        <f t="array" aca="1" ref="A13" ca="1">REDUCE(A1:J1,_xlfn.UNIQUE(D2:D11), LAMBDA(acc, dept, _xlfn.VSTACK(acc, _xlfn.TAKE(_xlfn.SORTBY(_xlfn._xlws.FILTER(A2:J11, D2:D11=dept), _xlfn.RANDARRAY(ROWS(_xlfn._xlws.FILTER(A2:J11,D2:D11=dept)))),1))))</f>
        <v>#NAME?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9C813-2577-492F-8663-A8AB6A21E2CD}">
  <dimension ref="A1:J12"/>
  <sheetViews>
    <sheetView workbookViewId="0">
      <selection activeCell="E13" sqref="E13"/>
    </sheetView>
  </sheetViews>
  <sheetFormatPr defaultRowHeight="14.4" x14ac:dyDescent="0.3"/>
  <cols>
    <col min="1" max="1" width="22.44140625" customWidth="1"/>
    <col min="2" max="2" width="19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110</v>
      </c>
      <c r="B2" t="s">
        <v>111</v>
      </c>
      <c r="C2" t="s">
        <v>12</v>
      </c>
      <c r="D2" t="s">
        <v>13</v>
      </c>
      <c r="E2" t="s">
        <v>14</v>
      </c>
      <c r="F2">
        <v>18</v>
      </c>
      <c r="G2">
        <v>1</v>
      </c>
      <c r="H2">
        <v>80</v>
      </c>
      <c r="I2">
        <v>75</v>
      </c>
      <c r="J2">
        <v>8.3800000000000008</v>
      </c>
    </row>
    <row r="3" spans="1:10" x14ac:dyDescent="0.3">
      <c r="A3" t="s">
        <v>90</v>
      </c>
      <c r="B3" t="s">
        <v>64</v>
      </c>
      <c r="C3" t="s">
        <v>20</v>
      </c>
      <c r="D3" t="s">
        <v>13</v>
      </c>
      <c r="E3" t="s">
        <v>14</v>
      </c>
      <c r="F3">
        <v>18</v>
      </c>
      <c r="G3">
        <v>1</v>
      </c>
      <c r="H3">
        <v>81</v>
      </c>
      <c r="I3">
        <v>56</v>
      </c>
      <c r="J3">
        <v>8.26</v>
      </c>
    </row>
    <row r="4" spans="1:10" x14ac:dyDescent="0.3">
      <c r="A4" t="s">
        <v>47</v>
      </c>
      <c r="B4" t="s">
        <v>48</v>
      </c>
      <c r="C4" t="s">
        <v>12</v>
      </c>
      <c r="D4" t="s">
        <v>17</v>
      </c>
      <c r="E4" t="s">
        <v>14</v>
      </c>
      <c r="F4">
        <v>18</v>
      </c>
      <c r="G4">
        <v>5</v>
      </c>
      <c r="H4">
        <v>70</v>
      </c>
      <c r="I4">
        <v>56</v>
      </c>
      <c r="J4">
        <v>6.27</v>
      </c>
    </row>
    <row r="5" spans="1:10" x14ac:dyDescent="0.3">
      <c r="A5" t="s">
        <v>203</v>
      </c>
      <c r="B5" t="s">
        <v>204</v>
      </c>
      <c r="C5" t="s">
        <v>12</v>
      </c>
      <c r="D5" t="s">
        <v>13</v>
      </c>
      <c r="E5" t="s">
        <v>14</v>
      </c>
      <c r="F5">
        <v>21</v>
      </c>
      <c r="G5">
        <v>3</v>
      </c>
      <c r="H5">
        <v>67</v>
      </c>
      <c r="I5">
        <v>59</v>
      </c>
      <c r="J5">
        <v>7.12</v>
      </c>
    </row>
    <row r="6" spans="1:10" x14ac:dyDescent="0.3">
      <c r="A6" s="1" t="s">
        <v>177</v>
      </c>
      <c r="B6" s="1" t="s">
        <v>178</v>
      </c>
      <c r="C6" s="1" t="s">
        <v>20</v>
      </c>
      <c r="D6" s="1" t="s">
        <v>13</v>
      </c>
      <c r="E6" s="1" t="s">
        <v>14</v>
      </c>
      <c r="F6" s="1">
        <v>20</v>
      </c>
      <c r="G6" s="1">
        <v>3</v>
      </c>
      <c r="H6" s="1">
        <v>94</v>
      </c>
      <c r="I6" s="1">
        <v>62</v>
      </c>
      <c r="J6" s="1">
        <v>7.2</v>
      </c>
    </row>
    <row r="7" spans="1:10" x14ac:dyDescent="0.3">
      <c r="A7" t="s">
        <v>141</v>
      </c>
      <c r="B7" t="s">
        <v>142</v>
      </c>
      <c r="C7" t="s">
        <v>12</v>
      </c>
      <c r="D7" t="s">
        <v>31</v>
      </c>
      <c r="E7" t="s">
        <v>14</v>
      </c>
      <c r="F7">
        <v>20</v>
      </c>
      <c r="G7">
        <v>3</v>
      </c>
      <c r="H7">
        <v>89</v>
      </c>
      <c r="I7">
        <v>62</v>
      </c>
      <c r="J7">
        <v>8.93</v>
      </c>
    </row>
    <row r="8" spans="1:10" x14ac:dyDescent="0.3">
      <c r="A8" t="s">
        <v>118</v>
      </c>
      <c r="B8" t="s">
        <v>119</v>
      </c>
      <c r="C8" t="s">
        <v>12</v>
      </c>
      <c r="D8" t="s">
        <v>38</v>
      </c>
      <c r="E8" t="s">
        <v>14</v>
      </c>
      <c r="F8">
        <v>18</v>
      </c>
      <c r="G8">
        <v>5</v>
      </c>
      <c r="H8">
        <v>80</v>
      </c>
      <c r="I8">
        <v>52</v>
      </c>
      <c r="J8">
        <v>7.78</v>
      </c>
    </row>
    <row r="9" spans="1:10" x14ac:dyDescent="0.3">
      <c r="A9" t="s">
        <v>10</v>
      </c>
      <c r="B9" t="s">
        <v>11</v>
      </c>
      <c r="C9" t="s">
        <v>12</v>
      </c>
      <c r="D9" t="s">
        <v>13</v>
      </c>
      <c r="E9" t="s">
        <v>14</v>
      </c>
      <c r="F9">
        <v>21</v>
      </c>
      <c r="G9">
        <v>1</v>
      </c>
      <c r="H9">
        <v>80</v>
      </c>
      <c r="I9">
        <v>59</v>
      </c>
      <c r="J9">
        <v>6.25</v>
      </c>
    </row>
    <row r="10" spans="1:10" x14ac:dyDescent="0.3">
      <c r="A10" t="s">
        <v>32</v>
      </c>
      <c r="B10" t="s">
        <v>33</v>
      </c>
      <c r="C10" t="s">
        <v>12</v>
      </c>
      <c r="D10" t="s">
        <v>17</v>
      </c>
      <c r="E10" t="s">
        <v>14</v>
      </c>
      <c r="F10">
        <v>21</v>
      </c>
      <c r="G10">
        <v>2</v>
      </c>
      <c r="H10">
        <v>69</v>
      </c>
      <c r="I10">
        <v>73</v>
      </c>
      <c r="J10">
        <v>9.15</v>
      </c>
    </row>
    <row r="11" spans="1:10" x14ac:dyDescent="0.3">
      <c r="A11" t="s">
        <v>91</v>
      </c>
      <c r="B11" t="s">
        <v>70</v>
      </c>
      <c r="C11" t="s">
        <v>20</v>
      </c>
      <c r="D11" t="s">
        <v>38</v>
      </c>
      <c r="E11" t="s">
        <v>14</v>
      </c>
      <c r="F11">
        <v>18</v>
      </c>
      <c r="G11">
        <v>5</v>
      </c>
      <c r="H11">
        <v>92</v>
      </c>
      <c r="I11">
        <v>67</v>
      </c>
      <c r="J11">
        <v>8.84</v>
      </c>
    </row>
    <row r="12" spans="1:10" x14ac:dyDescent="0.3">
      <c r="E12" t="s">
        <v>227</v>
      </c>
      <c r="F12">
        <f>AVERAGE(F2:F11)</f>
        <v>19.3</v>
      </c>
      <c r="G12">
        <f t="shared" ref="G12:J12" si="0">AVERAGE(G2:G11)</f>
        <v>2.9</v>
      </c>
      <c r="H12">
        <f t="shared" si="0"/>
        <v>80.2</v>
      </c>
      <c r="I12">
        <f t="shared" si="0"/>
        <v>62.1</v>
      </c>
      <c r="J12">
        <f t="shared" si="0"/>
        <v>7.8180000000000005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Student_Population</vt:lpstr>
      <vt:lpstr>Simple Random Sampling</vt:lpstr>
      <vt:lpstr>Systematic Sampling</vt:lpstr>
      <vt:lpstr>STRATISFIED sampling</vt:lpstr>
      <vt:lpstr>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 Borde</cp:lastModifiedBy>
  <dcterms:created xsi:type="dcterms:W3CDTF">2026-07-27T06:32:01Z</dcterms:created>
  <dcterms:modified xsi:type="dcterms:W3CDTF">2026-07-27T07:50:43Z</dcterms:modified>
</cp:coreProperties>
</file>